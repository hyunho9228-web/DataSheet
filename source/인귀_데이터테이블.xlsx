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eference" sheetId="2" r:id="rId6"/>
    <sheet state="visible" name="REGISTRY" sheetId="3" r:id="rId7"/>
    <sheet state="visible" name="UnitStat" sheetId="4" r:id="rId8"/>
    <sheet state="visible" name="Player" sheetId="5" r:id="rId9"/>
    <sheet state="visible" name="Monster" sheetId="6" r:id="rId10"/>
    <sheet state="visible" name="Boss" sheetId="7" r:id="rId11"/>
    <sheet state="visible" name="Attack" sheetId="8" r:id="rId12"/>
    <sheet state="visible" name="Weapon" sheetId="9" r:id="rId13"/>
    <sheet state="visible" name="Skill" sheetId="10" r:id="rId14"/>
    <sheet state="visible" name="StatCurve" sheetId="11" r:id="rId15"/>
    <sheet state="visible" name="Balance" sheetId="12" r:id="rId16"/>
    <sheet state="visible" name="Stage" sheetId="13" r:id="rId17"/>
    <sheet state="visible" name="StageLayer" sheetId="14" r:id="rId18"/>
    <sheet state="visible" name="State" sheetId="15" r:id="rId19"/>
    <sheet state="visible" name="String" sheetId="16" r:id="rId20"/>
  </sheets>
  <definedNames/>
  <calcPr/>
</workbook>
</file>

<file path=xl/sharedStrings.xml><?xml version="1.0" encoding="utf-8"?>
<sst xmlns="http://schemas.openxmlformats.org/spreadsheetml/2006/main" count="1232" uniqueCount="584">
  <si>
    <t>데이터 테이블 참조 구조 (10/29 숫자 ID 기준)</t>
  </si>
  <si>
    <t>인귀 데이터 테이블 초안 (10/29, 김현호, SILENT 양식 ID로 개편)</t>
  </si>
  <si>
    <t>가로줄 시트가 세로줄 시트를 참조합니다. 칸 안의 글자 = 참조할 때 쓰는 열 이름(값은 상대 시트의 숫자 ID). 빈칸 = 참조 없음. 시트 목록·부모·읽는 순서의 원본은 REGISTRY 탭.</t>
  </si>
  <si>
    <t>모든 수치는 제안입니다. 전투 기획서·코어 기획서와 같은 값을 씁니다. 시트 하나 = CSV 하나(시트 이름.csv, UTF-8).</t>
  </si>
  <si>
    <t>규칙</t>
  </si>
  <si>
    <t>참조하는 시트 ↓ / 참조되는 시트 →</t>
  </si>
  <si>
    <t>한 행 = 시트 하나. Parent·ParentKey는 이 시트 행이 매달리는 상위 시트와 그 열, Uses는 라이브러리처럼 참조하는 시트. Active = N이면 그 시트를 읽지 않는다.</t>
  </si>
  <si>
    <t>UnitStat</t>
  </si>
  <si>
    <t>Player</t>
  </si>
  <si>
    <t>내용</t>
  </si>
  <si>
    <t>Monster</t>
  </si>
  <si>
    <t>Boss</t>
  </si>
  <si>
    <t>한 행 = 유닛 하나(플레이어·몬스터·보스 공통 스탯). 비율은 만분율(10000=100%), MoveSpeed는 타일×100/초(600=초당 6타일). 몬스터 HP·ATK·DEF·Dodge·Poise는 StatCurve 등급(Tier) 값. 16행부터의 계산 예시는 내보내지 않음.</t>
  </si>
  <si>
    <t>Attack</t>
  </si>
  <si>
    <t>Weapon</t>
  </si>
  <si>
    <t>기능</t>
  </si>
  <si>
    <t>Skill</t>
  </si>
  <si>
    <t>시트 목록, 계층, ID 구간, 읽는 순서.</t>
  </si>
  <si>
    <t>State</t>
  </si>
  <si>
    <t>시트 형식 (SILENT와 같음)</t>
  </si>
  <si>
    <t>StatCurve</t>
  </si>
  <si>
    <t>1행 규칙(그 시트만의 규칙), 2행 기능, 3행 역할, 4행 의도, 5행 비고(코드가 읽지 않는 열), 6행 열 이름, 7행부터 데이터. 데이터 아래 빈 줄 뒤의 예시는 내보내지 않음</t>
  </si>
  <si>
    <t>역할</t>
  </si>
  <si>
    <t>Stage</t>
  </si>
  <si>
    <t>로더가 맨 먼저 읽는다.</t>
  </si>
  <si>
    <t>StageLayer</t>
  </si>
  <si>
    <t>1열 ID</t>
  </si>
  <si>
    <t>String</t>
  </si>
  <si>
    <t>의도</t>
  </si>
  <si>
    <t>숫자. 시트마다 정해진 구간 안에서 차례로 매김(REGISTRY IDRange). 구간이 서로 겹치지 않아 파일 전체에서 같은 번호가 두 번 나오지 않음. 지운 번호는 다시 쓰지 않음. 절대 중복 금지</t>
  </si>
  <si>
    <t>스폰 JSON</t>
  </si>
  <si>
    <t>시트를 모듈처럼 넣고 빼기 위해.</t>
  </si>
  <si>
    <t>2열 Name</t>
  </si>
  <si>
    <t>비고</t>
  </si>
  <si>
    <t>한국어 설명. 겹쳐도 되고 코드가 읽지 않음. 화면에 보이는 이름은 TextID로 String 시트를 가리킴</t>
  </si>
  <si>
    <t>Name, IDRange</t>
  </si>
  <si>
    <t>참조</t>
  </si>
  <si>
    <t>ID</t>
  </si>
  <si>
    <t>다른 시트는 숫자 ID로만 가리킴 (UnitID, OwnerID, AttackIDs, StartWeapon, SkillID, WeaponID, StateID, NextStage, StageID, TextID, 스폰 JSON code). 여러 개면 | 로 구분 (5001|5002|5003)</t>
  </si>
  <si>
    <t>체력·공격·방어·회피 확률·치명타·체세·이동 속도.</t>
  </si>
  <si>
    <t>겹치면 안 되는 문자열</t>
  </si>
  <si>
    <t>Tier</t>
  </si>
  <si>
    <t>Name</t>
  </si>
  <si>
    <t>State.Key(애니메이터 상태 이름) 하나. 나머지 문자열 키는 없음</t>
  </si>
  <si>
    <t>Sheet</t>
  </si>
  <si>
    <t>Parent</t>
  </si>
  <si>
    <t>TextID</t>
  </si>
  <si>
    <t>ParentKey</t>
  </si>
  <si>
    <t>정해진 단어</t>
  </si>
  <si>
    <t>Uses</t>
  </si>
  <si>
    <t>UnitID</t>
  </si>
  <si>
    <t>코드가 읽는 단어 값은 영어로 고정: Type(Player, Monster, Boss), AIType(MELEE, CHARGER), ExecuteType(KILL), Acquire(START, STORY), UnlockType(ROOM_LEDGER), Effect(CUT_BIND)</t>
  </si>
  <si>
    <t>IDRange</t>
  </si>
  <si>
    <t>LoadOrder</t>
  </si>
  <si>
    <t>Player·Monster·Boss·Attack이 이 ID(UnitID·OwnerID)로 가리킨다. 전투 계산과 Balance 탭이 읽는다.</t>
  </si>
  <si>
    <t>StartWeapon</t>
  </si>
  <si>
    <t>Required</t>
  </si>
  <si>
    <t>Y / N</t>
  </si>
  <si>
    <t>Active</t>
  </si>
  <si>
    <t>Active(N이면 그 행을 읽지 않음), Dodgeable, SuperArmor, HangAuto, InGstar, State의 Common·Player·Monster·Boss·Required, REGISTRY Required</t>
  </si>
  <si>
    <t>자료형·단위</t>
  </si>
  <si>
    <t>모두 정수. 비율·확률은 만분율(10000 = 100%), 시간 ms, 거리·속도 타일×100 (300 = 3타일)</t>
  </si>
  <si>
    <t>AttackIDs</t>
  </si>
  <si>
    <t>스탯 곡선</t>
  </si>
  <si>
    <t>모듈 목록</t>
  </si>
  <si>
    <t>몬스터 값 = Base + Delta × Tier (StatCurve 시트, 계산용이라 내보내지 않음)</t>
  </si>
  <si>
    <t>REGISTRY</t>
  </si>
  <si>
    <t>-</t>
  </si>
  <si>
    <t>11001~</t>
  </si>
  <si>
    <t>ID 구간</t>
  </si>
  <si>
    <t>Y</t>
  </si>
  <si>
    <t>시트</t>
  </si>
  <si>
    <t>유닛 공통 스탯을 한 곳에서 고치기 위해. 회피 확률(Dodge)은 구르기와 별개로 모든 유닛이 가짐.</t>
  </si>
  <si>
    <t>1001~</t>
  </si>
  <si>
    <t>표시 텍스트</t>
  </si>
  <si>
    <t>플레이어·몬스터·보스 공통 스탯 (HP, ATK, DEF, 회피율, 치명타, 체세, 이동)</t>
  </si>
  <si>
    <t>OwnerID</t>
  </si>
  <si>
    <t>2001~</t>
  </si>
  <si>
    <t>30001~</t>
  </si>
  <si>
    <t>StateID</t>
  </si>
  <si>
    <t>스태미나·구르기·피격·약초 등 플레이어 전용 (UnitID → UnitStat, StartWeapon → Weapon)</t>
  </si>
  <si>
    <t>Name, Note</t>
  </si>
  <si>
    <t>3001~</t>
  </si>
  <si>
    <t>상태</t>
  </si>
  <si>
    <t>AI·시야·체세 회복·해체 방식 (UnitID → UnitStat, AttackIDs → Attack)</t>
  </si>
  <si>
    <t>4001~</t>
  </si>
  <si>
    <t>SkillID</t>
  </si>
  <si>
    <t>페이즈 한 행씩. 같은 보스는 UnitID가 같음 (AttackIDs → Attack)</t>
  </si>
  <si>
    <t>10001~</t>
  </si>
  <si>
    <t>5001~</t>
  </si>
  <si>
    <t>공격별 배율·체세 피해·타이밍·회피 가능 여부 (OwnerID → UnitStat, StateID → State)</t>
  </si>
  <si>
    <t>유닛 스탯</t>
  </si>
  <si>
    <t>AttackID</t>
  </si>
  <si>
    <t>6001~</t>
  </si>
  <si>
    <t>WeaponID</t>
  </si>
  <si>
    <t>무기 (지스타는 발골칼 1개. AttackIDs → Attack, SkillID → Skill)</t>
  </si>
  <si>
    <t>Type</t>
  </si>
  <si>
    <t>7001~</t>
  </si>
  <si>
    <t>HP</t>
  </si>
  <si>
    <t>스킬 (결박 가르기, 쿨타임만. WeaponID → Weapon, AttackID → Attack)</t>
  </si>
  <si>
    <t>공격</t>
  </si>
  <si>
    <t>ATK</t>
  </si>
  <si>
    <t>DEF</t>
  </si>
  <si>
    <t>8001~</t>
  </si>
  <si>
    <t>Dodge</t>
  </si>
  <si>
    <t>State, String</t>
  </si>
  <si>
    <t>Crit</t>
  </si>
  <si>
    <t>스테이지 순서·BGM·스폰 JSON (NextStage → Stage, 스폰 JSON code → Monster)</t>
  </si>
  <si>
    <t>CritMult</t>
  </si>
  <si>
    <t>9001~</t>
  </si>
  <si>
    <t>Poise</t>
  </si>
  <si>
    <t>MoveSpeed</t>
  </si>
  <si>
    <t>스테이지별 배경 레이어·패럴랙스 (StageID → Stage)</t>
  </si>
  <si>
    <t>스킬</t>
  </si>
  <si>
    <t>Note</t>
  </si>
  <si>
    <t>Attack, String</t>
  </si>
  <si>
    <t>공통 상태 목록과 유닛별 사용 여부</t>
  </si>
  <si>
    <t>막손</t>
  </si>
  <si>
    <t>NextStage</t>
  </si>
  <si>
    <t>시트 목록·부모·ID 구간·읽는 순서. 로더가 맨 먼저 읽음 (CSV로 내보냄)</t>
  </si>
  <si>
    <t>무기</t>
  </si>
  <si>
    <t>SpawnFile</t>
  </si>
  <si>
    <t>표시 텍스트 (한국어 우선, EN 칸 예비)</t>
  </si>
  <si>
    <t>Attack, Skill, String</t>
  </si>
  <si>
    <t>StageID</t>
  </si>
  <si>
    <t>내보내지 않는 탭</t>
  </si>
  <si>
    <t>플레이어</t>
  </si>
  <si>
    <t>주인공. 성장 없음(10/28)</t>
  </si>
  <si>
    <t>README</t>
  </si>
  <si>
    <t>이 설명</t>
  </si>
  <si>
    <t>허수귀</t>
  </si>
  <si>
    <t>Reference</t>
  </si>
  <si>
    <t>시트 간 참조 구조(매트릭스·참조 목록·읽는 순서). 열을 추가하면 여기와 REGISTRY를 같이 고칠 것</t>
  </si>
  <si>
    <t>몬스터</t>
  </si>
  <si>
    <t>code</t>
  </si>
  <si>
    <t>등급별 선형 스탯 + 그래프. UnitStat 몬스터 행이 수식으로 가져감</t>
  </si>
  <si>
    <t>Balance</t>
  </si>
  <si>
    <t>밸런스 계산기: 공격력·치명타와 회피율을 넣은 기대 데미지, 처치 타수, 버티는 횟수와 그래프 (UnitStat, Attack, Boss를 ID로 참조)</t>
  </si>
  <si>
    <t>참조되는 횟수</t>
  </si>
  <si>
    <t>보스 페이즈</t>
  </si>
  <si>
    <t>ID 바꾸기 전 → 후 (10/29)</t>
  </si>
  <si>
    <t>PL_001→1001, MON_001~004→1002~1005, BOSS_001→1006, PLAYER_001→2001, MON(몬스터 행)→3001~3004, BOSS_001_P1·P2→4001·4002, PL_ATK_1~BOSS_SK1→5001~5016, WPN_001~003→6001~6003, SKL_001→7001, ST_01~04→8001~8004, ST_01_L0~ST_04_L1→9001~9015, Idle~Acquire→10001~10018, 문자열 키→30001~30026</t>
  </si>
  <si>
    <t>스테이지</t>
  </si>
  <si>
    <t>String, Monster(스폰 JSON)</t>
  </si>
  <si>
    <t>참조 목록 (열 단위)</t>
  </si>
  <si>
    <t>배경 레이어</t>
  </si>
  <si>
    <t>참조하는 시트</t>
  </si>
  <si>
    <t>열</t>
  </si>
  <si>
    <t>→ 참조되는 시트</t>
  </si>
  <si>
    <t>키 열</t>
  </si>
  <si>
    <t>형식</t>
  </si>
  <si>
    <t>예시</t>
  </si>
  <si>
    <t>단일</t>
  </si>
  <si>
    <t>1003(지게귀) Tier 2 → HP 50</t>
  </si>
  <si>
    <t>30001 → 막손</t>
  </si>
  <si>
    <t>| 목록</t>
  </si>
  <si>
    <t>5007|5008</t>
  </si>
  <si>
    <t>5013|5014|5015</t>
  </si>
  <si>
    <t>10004 (Attack1)</t>
  </si>
  <si>
    <t>5001|5002|5003|5004</t>
  </si>
  <si>
    <t>단일(자기 참조)</t>
  </si>
  <si>
    <t>8001 → 8002</t>
  </si>
  <si>
    <t>파일 경로</t>
  </si>
  <si>
    <t>spawn/8001.json</t>
  </si>
  <si>
    <t>*TextID</t>
  </si>
  <si>
    <t>한 행 = 플레이어 조작 프로필 하나. Regen은 초당, 시간은 ms, 거리는 타일×100.</t>
  </si>
  <si>
    <t>Stage·Weapon·Skill·Attack·UnitStat 공통</t>
  </si>
  <si>
    <t>잡몹</t>
  </si>
  <si>
    <t>읽는 순서 (참조되는 쪽을 먼저 불러오기, REGISTRY LoadOrder와 같음)</t>
  </si>
  <si>
    <t>지게귀</t>
  </si>
  <si>
    <t>단계</t>
  </si>
  <si>
    <t>이유</t>
  </si>
  <si>
    <t>스태미나·구르기·점프·피격 경직·약초·매달리기·착지·선입력.</t>
  </si>
  <si>
    <t>시트 목록·ID 구간</t>
  </si>
  <si>
    <t>String, State</t>
  </si>
  <si>
    <t>아무것도 참조하지 않음 (StatCurve는 시트 안 수식으로만 씁)</t>
  </si>
  <si>
    <t>String만 참조</t>
  </si>
  <si>
    <t>플레이어 컨트롤러가 읽는다. UnitID는 UnitStat, StartWeapon은 Weapon ID.</t>
  </si>
  <si>
    <t>UnitStat·State·String 참조</t>
  </si>
  <si>
    <t>Skill, Weapon</t>
  </si>
  <si>
    <t>Attack 참조. 둘은 서로 참조(아래 주의)</t>
  </si>
  <si>
    <t>Player, Monster, Boss</t>
  </si>
  <si>
    <t>UnitStat·Attack·Weapon 참조</t>
  </si>
  <si>
    <t>Stage, 스폰 JSON</t>
  </si>
  <si>
    <t>Monster·String 참조</t>
  </si>
  <si>
    <t>조작 감각을 프로필만 바꿔 비교하기 위해. 인벤토리는 지스타 제외(완성판), 약초 개수만 HUD 표시.</t>
  </si>
  <si>
    <t>Stage 참조</t>
  </si>
  <si>
    <t>주의</t>
  </si>
  <si>
    <t>Weapon.SkillID ↔ Skill.WeaponID가 서로를 가리킵니다. 두 시트를 다 읽은 뒤 연결하거나, 한쪽(예: Skill.WeaponID)만 남기는 것을 개발팀과 정해야 합니다.</t>
  </si>
  <si>
    <t>StaminaMax</t>
  </si>
  <si>
    <t>StaminaRegen</t>
  </si>
  <si>
    <t>StaminaRegenDelay</t>
  </si>
  <si>
    <t>RollDistance</t>
  </si>
  <si>
    <t>RollTime</t>
  </si>
  <si>
    <t>RollIFrame</t>
  </si>
  <si>
    <t>RollStamina</t>
  </si>
  <si>
    <t>JumpHeight</t>
  </si>
  <si>
    <t>HitStunTime</t>
  </si>
  <si>
    <t>HitIFrame</t>
  </si>
  <si>
    <t>HerbHeal</t>
  </si>
  <si>
    <t>HerbCount</t>
  </si>
  <si>
    <t>HerbUseTime</t>
  </si>
  <si>
    <t>HangAuto</t>
  </si>
  <si>
    <t>CritHitStunTime</t>
  </si>
  <si>
    <t>LandFallHeight</t>
  </si>
  <si>
    <t>LandTime</t>
  </si>
  <si>
    <t>InputBuffer</t>
  </si>
  <si>
    <t>막손 기본</t>
  </si>
  <si>
    <t>불붙은 허수귀</t>
  </si>
  <si>
    <t>CritHitStunTime=치명타 피격 경직, LandFallHeight=착지 모션이 나오는 낙하 높이(5타일), InputBuffer=선입력 버퍼</t>
  </si>
  <si>
    <t>한 행 = 잡몹 하나의 AI·체세 설정. 스탯은 UnitID로 UnitStat에서 가져옴. AttackIDs는 Attack ID를 | 로 구분.</t>
  </si>
  <si>
    <t>AI 종류·시야·공격 거리·대기·공격 목록·체세 회복·해체 방식·슈퍼아머.</t>
  </si>
  <si>
    <t>몬스터 AI와 스폰 JSON(code = 이 ID)이 읽는다.</t>
  </si>
  <si>
    <t>잡몹 행동을 코드 수정 없이 바꾸기 위해.</t>
  </si>
  <si>
    <t>AIType</t>
  </si>
  <si>
    <t>SightRange</t>
  </si>
  <si>
    <t>AttackRange</t>
  </si>
  <si>
    <t>IdleMin</t>
  </si>
  <si>
    <t>IdleMax</t>
  </si>
  <si>
    <t>PoiseRegenDelay</t>
  </si>
  <si>
    <t>PoiseRegen</t>
  </si>
  <si>
    <t>ExposeTime</t>
  </si>
  <si>
    <t>ExecuteType</t>
  </si>
  <si>
    <t>SuperArmor</t>
  </si>
  <si>
    <t>MELEE</t>
  </si>
  <si>
    <t>KILL</t>
  </si>
  <si>
    <t>N</t>
  </si>
  <si>
    <t>짚 팔로 잡기</t>
  </si>
  <si>
    <t>CHARGER</t>
  </si>
  <si>
    <t>5009|5010</t>
  </si>
  <si>
    <t>돌진 중 슈퍼아머</t>
  </si>
  <si>
    <t>변종, 지스타 포함 여부 미정</t>
  </si>
  <si>
    <t>5007|5008|5011</t>
  </si>
  <si>
    <t>짐 던지는 지게귀</t>
  </si>
  <si>
    <t>변종: 죽을 때 불 남김, 해체하면 안 남김</t>
  </si>
  <si>
    <t>5009|5010|5012</t>
  </si>
  <si>
    <t>변종</t>
  </si>
  <si>
    <t>쇄문아비</t>
  </si>
  <si>
    <t>보스. 곡선 밖 개별 값</t>
  </si>
  <si>
    <t>계산 예시 (전투 기획서 C05 공식, 위 표 값으로 자동 계산, 내보내지 않음)</t>
  </si>
  <si>
    <t>공격자 ATK</t>
  </si>
  <si>
    <t>배율(Attack)</t>
  </si>
  <si>
    <t>치명 배율</t>
  </si>
  <si>
    <t>대상 DEF</t>
  </si>
  <si>
    <t>데미지</t>
  </si>
  <si>
    <t>대상 HP</t>
  </si>
  <si>
    <t>처치까지 타수</t>
  </si>
  <si>
    <t>설명</t>
  </si>
  <si>
    <t>막손 1타 → 지게귀</t>
  </si>
  <si>
    <t>체세 해체 없이 평타만 쓸 때</t>
  </si>
  <si>
    <t>막손 3타 치명타 → 쇄문아비</t>
  </si>
  <si>
    <t>보스는 해체(최대 HP 18%)로 줄임</t>
  </si>
  <si>
    <t>지게귀 돌진 → 막손</t>
  </si>
  <si>
    <t>막손이 버티는 횟수</t>
  </si>
  <si>
    <t>한 행 = 보스 페이즈 하나. 같은 보스는 UnitID가 같고 Phase로 나눔. HPThreshold·ExecuteDamage는 최대 HP 대비 만분율. AttackIDs는 | 구분.</t>
  </si>
  <si>
    <t>페이즈별 공격 목록·대기·체세 회복·해체 피해.</t>
  </si>
  <si>
    <t>보스 AI가 읽는다. 스탯은 UnitID로 UnitStat에서 가져옴.</t>
  </si>
  <si>
    <t>페이즈를 행 추가만으로 늘리기 위해.</t>
  </si>
  <si>
    <t>Phase</t>
  </si>
  <si>
    <t>HPThreshold</t>
  </si>
  <si>
    <t>IdleTime</t>
  </si>
  <si>
    <t>ExecuteDamage</t>
  </si>
  <si>
    <t>쇄문아비 1페이즈</t>
  </si>
  <si>
    <t>HP 100~50%. ExecuteDamage 1800 = 최대 HP 18%</t>
  </si>
  <si>
    <t>쇄문아비 2페이즈</t>
  </si>
  <si>
    <t>5013|5014|5015|5016</t>
  </si>
  <si>
    <t>HP 50% 이하: 문 돌진 추가, 대기 짧아짐</t>
  </si>
  <si>
    <t>한 행 = 무기 하나. AttackIDs는 Attack ID를 | 로 구분, SkillID는 Skill ID.</t>
  </si>
  <si>
    <t>무기별 공격 목록·스킬·획득 방식.</t>
  </si>
  <si>
    <t>한 행 = 공격 하나. DamageMult는 만분율, 시간(Startup·ActiveTime·Recovery·ComboWindow·HitStop)은 ms. Dodgeable Y = 회피 확률 굴림, N = 반드시 들어감. 데미지 = max(1, floor(ATK × DamageMult/10000 × CritMult/10000 × (10000−DEF)/10000)), 순서: 무적 → 회피 확률 → 치명타 → 방어.</t>
  </si>
  <si>
    <t>Player.StartWeapon과 무기 획득 처리가 읽는다.</t>
  </si>
  <si>
    <t>공격 배율·체세 피해·판정 타이밍·스태미나·회피 가능 여부.</t>
  </si>
  <si>
    <t>무기를 행 추가로 늘리기 위해(완성판 3종). 무기 획득 = 스킬 해금(10/28).</t>
  </si>
  <si>
    <t>Weapon·Skill·Monster·Boss가 이 ID로 가리킨다. OwnerID는 UnitStat, StateID는 State ID.</t>
  </si>
  <si>
    <t>InGstar</t>
  </si>
  <si>
    <t>Acquire</t>
  </si>
  <si>
    <t>AcquireAnim</t>
  </si>
  <si>
    <t>발골칼</t>
  </si>
  <si>
    <t>START</t>
  </si>
  <si>
    <t>ANIM_ACQ_6001</t>
  </si>
  <si>
    <t>공격 하나를 행 단위로 조정하기 위해. 몬스터 공격은 이름을 화면에 띄우지 않아 TextID가 비어 있음.</t>
  </si>
  <si>
    <t>시작 무기. 결박 가르기는 장부방 해금(예외, 10/28)</t>
  </si>
  <si>
    <t>버선칼</t>
  </si>
  <si>
    <t>STORY</t>
  </si>
  <si>
    <t>ANIM_ACQ_6002</t>
  </si>
  <si>
    <t>완성판, 획득 시 스킬 해금</t>
  </si>
  <si>
    <t>쇠메</t>
  </si>
  <si>
    <t>ANIM_ACQ_6003</t>
  </si>
  <si>
    <t>DamageMult</t>
  </si>
  <si>
    <t>PoiseDamage</t>
  </si>
  <si>
    <t>Startup</t>
  </si>
  <si>
    <t>ActiveTime</t>
  </si>
  <si>
    <t>Recovery</t>
  </si>
  <si>
    <t>ComboWindow</t>
  </si>
  <si>
    <t>Stamina</t>
  </si>
  <si>
    <t>Dodgeable</t>
  </si>
  <si>
    <t>HitStop</t>
  </si>
  <si>
    <t>발골칼 1타</t>
  </si>
  <si>
    <t>발골칼 2타</t>
  </si>
  <si>
    <t>발골칼 3타</t>
  </si>
  <si>
    <t>콤보 끝</t>
  </si>
  <si>
    <t>공중 1타</t>
  </si>
  <si>
    <t>해체</t>
  </si>
  <si>
    <t>잡몹 즉사, 보스는 Boss.ExecuteDamage. 회피 불가</t>
  </si>
  <si>
    <t>결박 가르기</t>
  </si>
  <si>
    <t>회피 불가, 결박 끊기</t>
  </si>
  <si>
    <t>허수귀 팔 휘두르기</t>
  </si>
  <si>
    <t>허수귀 짚 팔 잡기</t>
  </si>
  <si>
    <t>구속 1000ms, 공격 연타로 풀기</t>
  </si>
  <si>
    <t>지게귀 지게 내리찍기</t>
  </si>
  <si>
    <t>지게귀 돌진</t>
  </si>
  <si>
    <t>슈퍼아머, 벽 충돌 시 800ms 허점</t>
  </si>
  <si>
    <t>불붙은 허수귀 바닥 불</t>
  </si>
  <si>
    <t>초당 고정 5 피해, 3000ms</t>
  </si>
  <si>
    <t>짐 투척</t>
  </si>
  <si>
    <t>포물선</t>
  </si>
  <si>
    <t>쇄문아비 문짝 내리찍기</t>
  </si>
  <si>
    <t>쇄문아비 빗장 휘두르기</t>
  </si>
  <si>
    <t>2타(어택 2-1)</t>
  </si>
  <si>
    <t>쇄문아비 사슬 당기기</t>
  </si>
  <si>
    <t>구속, 결박 가르기로 끊기</t>
  </si>
  <si>
    <t>쇄문아비 문 돌진</t>
  </si>
  <si>
    <t>HP 50% 이하, 벽 충돌 시 보스 체세 -30</t>
  </si>
  <si>
    <t>한 행 = 스킬 하나. MP 없음, Cooldown(ms)만. WeaponID는 Weapon ID, AttackID는 Attack ID.</t>
  </si>
  <si>
    <t>스킬 공격·쿨타임·해금 방식·효과.</t>
  </si>
  <si>
    <t>스킬 입력과 해금 처리가 읽는다.</t>
  </si>
  <si>
    <t>무기마다 스킬을 붙이기 위해.</t>
  </si>
  <si>
    <t>Cooldown</t>
  </si>
  <si>
    <t>UnlockType</t>
  </si>
  <si>
    <t>Effect</t>
  </si>
  <si>
    <t>ROOM_LEDGER</t>
  </si>
  <si>
    <t>CUT_BIND</t>
  </si>
  <si>
    <t>장부방에서 해금, 결박 문·사슬 끊기</t>
  </si>
  <si>
    <t>한 행 = 스테이지 하나. NextStage는 다음 Stage ID(비면 마지막). 스폰 JSON의 code는 Monster ID. 13행부터의 JSON 예시는 내보내지 않음.</t>
  </si>
  <si>
    <t>스테이지 순서·BGM·스폰 파일.</t>
  </si>
  <si>
    <t>스테이지 로더가 읽는다. StageLayer가 이 ID로 매달림.</t>
  </si>
  <si>
    <t>맵 순서와 배치를 코드 수정 없이 바꾸기 위해.</t>
  </si>
  <si>
    <t>Order</t>
  </si>
  <si>
    <t>BGM_Normal</t>
  </si>
  <si>
    <t>BGM_Battle</t>
  </si>
  <si>
    <t>마을(도화골)</t>
  </si>
  <si>
    <t>BGM_VILLAGE</t>
  </si>
  <si>
    <t>BGM_BATTLE</t>
  </si>
  <si>
    <t>인트로 컷씬 뒤, 부상당한 피난민 NPC</t>
  </si>
  <si>
    <t>사냥터 1</t>
  </si>
  <si>
    <t>BGM_FIELD</t>
  </si>
  <si>
    <t>spawn/8002.json</t>
  </si>
  <si>
    <t>한 행 = 스테이지의 배경 레이어 하나. StageID는 Stage ID. Parallax는 카메라 이동 대비 만분율(0=고정, 10000=플레이 레이어와 같이).</t>
  </si>
  <si>
    <t>사냥터 2</t>
  </si>
  <si>
    <t>레이어 순서·이미지·패럴랙스·정렬.</t>
  </si>
  <si>
    <t>spawn/8003.json</t>
  </si>
  <si>
    <t>장부방(결박 가르기 해금)</t>
  </si>
  <si>
    <t>배경 조립기가 StageID로 묶어 읽는다.</t>
  </si>
  <si>
    <t>보스방</t>
  </si>
  <si>
    <t>BGM_BOSS</t>
  </si>
  <si>
    <t>spawn/8004.json</t>
  </si>
  <si>
    <t>배경을 레이어로 조립하고 스테이지별로 바꾸기 위해(10/28 회의).</t>
  </si>
  <si>
    <t>전투 BGM BPM 낮춤 버전(10/28)</t>
  </si>
  <si>
    <t>스폰 JSON 예시 (10/28 회의: 몬스터 코드 + count, 위치도 JSON, 초기엔 확률 없음. code = Monster ID)</t>
  </si>
  <si>
    <t>{"stage":8002,"spawns":[{"code":3001,"count":3,"points":[[1200,0],[1800,0],[2600,0]]},{"code":3002,"count":1,"points":[[3400,0]]}]}</t>
  </si>
  <si>
    <t>맵당 몬스터 2종 + 보스 1(지스타 범위). 배치는 제안이며 레벨 디자인에서 확정</t>
  </si>
  <si>
    <t>LayerIndex</t>
  </si>
  <si>
    <t>LayerName</t>
  </si>
  <si>
    <t>ImageKey</t>
  </si>
  <si>
    <t>Parallax</t>
  </si>
  <si>
    <t>SortOrder</t>
  </si>
  <si>
    <t>마을 하늘</t>
  </si>
  <si>
    <t>하늘</t>
  </si>
  <si>
    <t>BG_8001_SKY</t>
  </si>
  <si>
    <t>불타는 밤하늘</t>
  </si>
  <si>
    <t>마을 원경</t>
  </si>
  <si>
    <t>원경</t>
  </si>
  <si>
    <t>BG_8001_FAR</t>
  </si>
  <si>
    <t>산자락</t>
  </si>
  <si>
    <t>마을 중경</t>
  </si>
  <si>
    <t>중경</t>
  </si>
  <si>
    <t>BG_8001_MID</t>
  </si>
  <si>
    <t>불타는 초가</t>
  </si>
  <si>
    <t>마을 플레이</t>
  </si>
  <si>
    <t>플레이</t>
  </si>
  <si>
    <t>BG_8001_PLAY</t>
  </si>
  <si>
    <t>밟는 땅</t>
  </si>
  <si>
    <t>마을 전경</t>
  </si>
  <si>
    <t>전경</t>
  </si>
  <si>
    <t>BG_8001_FRONT</t>
  </si>
  <si>
    <t>연기·불티</t>
  </si>
  <si>
    <t>사냥터 1 하늘</t>
  </si>
  <si>
    <t>BG_8002_SKY</t>
  </si>
  <si>
    <t>사냥터 1 원경</t>
  </si>
  <si>
    <t>BG_8002_FAR</t>
  </si>
  <si>
    <t>사냥터 1 중경</t>
  </si>
  <si>
    <t>BG_8002_MID</t>
  </si>
  <si>
    <t>사냥터 1 플레이</t>
  </si>
  <si>
    <t>BG_8002_PLAY</t>
  </si>
  <si>
    <t>사냥터 2 하늘</t>
  </si>
  <si>
    <t>BG_8003_SKY</t>
  </si>
  <si>
    <t>사냥터 2 원경</t>
  </si>
  <si>
    <t>BG_8003_FAR</t>
  </si>
  <si>
    <t>사냥터 2 중경</t>
  </si>
  <si>
    <t>BG_8003_MID</t>
  </si>
  <si>
    <t>사냥터 2 플레이</t>
  </si>
  <si>
    <t>BG_8003_PLAY</t>
  </si>
  <si>
    <t>보스방 배경</t>
  </si>
  <si>
    <t>배경</t>
  </si>
  <si>
    <t>BG_8004_BACK</t>
  </si>
  <si>
    <t>보스방은 고정 화면에 가까움</t>
  </si>
  <si>
    <t>보스방 플레이</t>
  </si>
  <si>
    <t>BG_8004_PLAY</t>
  </si>
  <si>
    <t>Stat</t>
  </si>
  <si>
    <t>Base</t>
  </si>
  <si>
    <t>Delta</t>
  </si>
  <si>
    <t>체력</t>
  </si>
  <si>
    <t>공격력</t>
  </si>
  <si>
    <t>피해 감소율(만분율), 최대 5000</t>
  </si>
  <si>
    <t>회피 확률(만분율), 구르기와 별개</t>
  </si>
  <si>
    <t>체세 최대치</t>
  </si>
  <si>
    <t>등급별 값 = Base + Delta × Tier (Base·Delta만 고치면 아래 표와 그래프가 같이 바뀜)</t>
  </si>
  <si>
    <t>해당 몬스터</t>
  </si>
  <si>
    <t>변종 (불붙은 허수귀, 짐 던지는 지게귀)</t>
  </si>
  <si>
    <t>완성판 예비</t>
  </si>
  <si>
    <t>한 행 = 화면에 보이는 문구 하나. 다른 시트는 TextID(이 ID)로만 가리킨다. KO 우선, EN은 예비.</t>
  </si>
  <si>
    <t>한 행 = 상태 하나. Key는 애니메이터 상태 이름(영어, 겹치지 않음). Common Y = 10/28 회의의 공통 상태. Player·Monster·Boss Y = 그 유닛이 씀.</t>
  </si>
  <si>
    <t>표시 텍스트.</t>
  </si>
  <si>
    <t>UI와 이름 표시가 읽는다.</t>
  </si>
  <si>
    <t>문구와 번역을 코드 수정 없이 바꾸기 위해.</t>
  </si>
  <si>
    <t>상태 목록과 유닛별 사용 여부.</t>
  </si>
  <si>
    <t>상태 머신과 Attack.StateID가 이 ID로 가리킨다.</t>
  </si>
  <si>
    <t>KO</t>
  </si>
  <si>
    <t>EN</t>
  </si>
  <si>
    <t>유닛마다 필요한 상태·애니메이션을 한눈에 맞추기 위해.</t>
  </si>
  <si>
    <t>막손 이름</t>
  </si>
  <si>
    <t>주인공</t>
  </si>
  <si>
    <t>허수귀 이름</t>
  </si>
  <si>
    <t>지게귀 이름</t>
  </si>
  <si>
    <t>Key</t>
  </si>
  <si>
    <t>Common</t>
  </si>
  <si>
    <t>불붙은 허수귀 이름</t>
  </si>
  <si>
    <t>짐 던지는 지게귀 이름</t>
  </si>
  <si>
    <t>아이들</t>
  </si>
  <si>
    <t>Idle</t>
  </si>
  <si>
    <t>쇄문아비 이름</t>
  </si>
  <si>
    <t>보스</t>
  </si>
  <si>
    <t>발골칼 이름</t>
  </si>
  <si>
    <t>워크</t>
  </si>
  <si>
    <t>Walk</t>
  </si>
  <si>
    <t>버선칼 이름</t>
  </si>
  <si>
    <t>완성판</t>
  </si>
  <si>
    <t>쇠메 이름</t>
  </si>
  <si>
    <t>히트</t>
  </si>
  <si>
    <t>Hit</t>
  </si>
  <si>
    <t>결박 가르기 스킬 이름</t>
  </si>
  <si>
    <t>플레이어 300ms 후 무적 600ms. 슈퍼아머 중엔 생략</t>
  </si>
  <si>
    <t>어택1</t>
  </si>
  <si>
    <t>마을 이름</t>
  </si>
  <si>
    <t>Attack1</t>
  </si>
  <si>
    <t>도화골</t>
  </si>
  <si>
    <t>사냥터 1 이름</t>
  </si>
  <si>
    <t>이름 미정</t>
  </si>
  <si>
    <t>어택2</t>
  </si>
  <si>
    <t>Attack2</t>
  </si>
  <si>
    <t>사냥터 2 이름</t>
  </si>
  <si>
    <t>보스 어택 2-1 수정 예정</t>
  </si>
  <si>
    <t>보스방 이름</t>
  </si>
  <si>
    <t>어택3</t>
  </si>
  <si>
    <t>Attack3</t>
  </si>
  <si>
    <t>베기</t>
  </si>
  <si>
    <t>회피</t>
  </si>
  <si>
    <t>Evade</t>
  </si>
  <si>
    <t>회피 확률 발동 시 모션. 구르기와 별개</t>
  </si>
  <si>
    <t>내리베기</t>
  </si>
  <si>
    <t>크리티컬 히트</t>
  </si>
  <si>
    <t>CritHit</t>
  </si>
  <si>
    <t>공중 베기</t>
  </si>
  <si>
    <t>스킬1</t>
  </si>
  <si>
    <t>Skill1</t>
  </si>
  <si>
    <t>플레이어 = 결박 가르기</t>
  </si>
  <si>
    <t>결박 가르기 공격</t>
  </si>
  <si>
    <t>매달리기</t>
  </si>
  <si>
    <t>Hang</t>
  </si>
  <si>
    <t>회피 발동 표시</t>
  </si>
  <si>
    <t>회피 확률 발동 시 표시</t>
  </si>
  <si>
    <t>10/28 필수. 자동 잡기</t>
  </si>
  <si>
    <t>약초</t>
  </si>
  <si>
    <t>착지</t>
  </si>
  <si>
    <t>Land</t>
  </si>
  <si>
    <t>스킬 해금 알림</t>
  </si>
  <si>
    <t>결박 가르기를 익혔다</t>
  </si>
  <si>
    <t>선택. 5타일 이상 낙하 시 200ms</t>
  </si>
  <si>
    <t>장부방</t>
  </si>
  <si>
    <t>구르기</t>
  </si>
  <si>
    <t>Roll</t>
  </si>
  <si>
    <t>저장 알림</t>
  </si>
  <si>
    <t>기록했다</t>
  </si>
  <si>
    <t>저장 지점</t>
  </si>
  <si>
    <t>조작 회피. 무적 300ms</t>
  </si>
  <si>
    <t>마지막 컷씬</t>
  </si>
  <si>
    <t>TO BE CONTINUED</t>
  </si>
  <si>
    <t>점프/낙하</t>
  </si>
  <si>
    <t>Jump</t>
  </si>
  <si>
    <t>로딩</t>
  </si>
  <si>
    <t>급소 노출</t>
  </si>
  <si>
    <t>불러오는 중</t>
  </si>
  <si>
    <t>Exposed</t>
  </si>
  <si>
    <t>로딩씬</t>
  </si>
  <si>
    <t>체세 0</t>
  </si>
  <si>
    <t>Execute</t>
  </si>
  <si>
    <t>플레이어는 실행, 대상은 당함</t>
  </si>
  <si>
    <t>사망</t>
  </si>
  <si>
    <t>Dead</t>
  </si>
  <si>
    <t>약초 사용</t>
  </si>
  <si>
    <t>Heal</t>
  </si>
  <si>
    <t>800ms</t>
  </si>
  <si>
    <t>무기 획득</t>
  </si>
  <si>
    <t>무기별 획득 모션(완성판 위주)</t>
  </si>
  <si>
    <t>밸런스 계산기: 공격력·치명타와 회피 확률</t>
  </si>
  <si>
    <t>노란 칸만 입력합니다. 가정값을 비워 두면 UnitStat·Attack·Boss 시트 값을 그대로 씁니다. 나머지 칸은 모두 수식입니다.</t>
  </si>
  <si>
    <t>기대 데미지 = (1 − 대상 회피율) × [(1 − 치명타율) × 평타 데미지 + 치명타율 × 치명 데미지]. 데미지 공식은 전투 기획서 C05와 같습니다. 계산용 탭이라 CSV로 내보내지 않습니다.</t>
  </si>
  <si>
    <t>1. 막손 값</t>
  </si>
  <si>
    <t>항목</t>
  </si>
  <si>
    <t>키(ID)</t>
  </si>
  <si>
    <t>시트 값</t>
  </si>
  <si>
    <t>가정값(입력)</t>
  </si>
  <si>
    <t>계산에 쓰는 값</t>
  </si>
  <si>
    <t>공격력 ATK</t>
  </si>
  <si>
    <t>치명타율 Crit</t>
  </si>
  <si>
    <t>치명 배율 CritMult</t>
  </si>
  <si>
    <t>방어 DEF</t>
  </si>
  <si>
    <t>회피율 Dodge</t>
  </si>
  <si>
    <t>1타 배율</t>
  </si>
  <si>
    <t>2타 배율</t>
  </si>
  <si>
    <t>3타 배율</t>
  </si>
  <si>
    <t>1타 체세 피해</t>
  </si>
  <si>
    <t>2타 체세 피해</t>
  </si>
  <si>
    <t>3타 체세 피해</t>
  </si>
  <si>
    <t>콤보 1회 시간(ms)</t>
  </si>
  <si>
    <t>1~3타 선딜+판정+후딜</t>
  </si>
  <si>
    <t>2. 막손 → 적 (회피·치명타 반영 기대값)</t>
  </si>
  <si>
    <t>대상 UnitID</t>
  </si>
  <si>
    <t>이름</t>
  </si>
  <si>
    <t>회피율(시트)</t>
  </si>
  <si>
    <t>회피율 가정(입력)</t>
  </si>
  <si>
    <t>회피율 사용</t>
  </si>
  <si>
    <t>체세</t>
  </si>
  <si>
    <t>1타 평타</t>
  </si>
  <si>
    <t>1타 치명</t>
  </si>
  <si>
    <t>2타 평타</t>
  </si>
  <si>
    <t>2타 치명</t>
  </si>
  <si>
    <t>3타 평타</t>
  </si>
  <si>
    <t>3타 치명</t>
  </si>
  <si>
    <t>1타 기대 데미지</t>
  </si>
  <si>
    <t>콤보 기대 데미지</t>
  </si>
  <si>
    <t>콤보 기대 체세 피해</t>
  </si>
  <si>
    <t>평타만으로 처치 콤보</t>
  </si>
  <si>
    <t>체세 붕괴까지 콤보</t>
  </si>
  <si>
    <t>해체 1회 피해</t>
  </si>
  <si>
    <t>처치까지 콤보(해체 포함)</t>
  </si>
  <si>
    <t>해체 횟수</t>
  </si>
  <si>
    <t>처치 시간(초)</t>
  </si>
  <si>
    <t>1타만 처치 타수(회피·치명 없음)</t>
  </si>
  <si>
    <t>1타만 처치 기대 타수</t>
  </si>
  <si>
    <t>처치 방식</t>
  </si>
  <si>
    <t>보스: 처치까지 콤보 = HP ÷ (체세 붕괴까지 콤보 × 콤보 기대 데미지 + 해체 1회 피해) × 체세 붕괴까지 콤보. 체세 회복(마지막 피격 2초 뒤)과 결박 가르기는 넣지 않은 근사치입니다. 비교 목표(C10 기준 체감): 잡몹 콤보 1~2번·3~5초, 보스 해체 3~4번.</t>
  </si>
  <si>
    <t>3. 적 → 막손 (막손 회피율 반영 기대값)</t>
  </si>
  <si>
    <t>공격자</t>
  </si>
  <si>
    <t>배율</t>
  </si>
  <si>
    <t>회피 가능</t>
  </si>
  <si>
    <t>공격자 치명타율</t>
  </si>
  <si>
    <t>평타 데미지</t>
  </si>
  <si>
    <t>치명 데미지</t>
  </si>
  <si>
    <t>기대 데미지</t>
  </si>
  <si>
    <t>쓰러질 때까지 피격(회피·치명 없음)</t>
  </si>
  <si>
    <t>쓰러질 때까지 기대 피격</t>
  </si>
  <si>
    <t>목표 최소(입력)</t>
  </si>
  <si>
    <t>목표 최대(입력)</t>
  </si>
  <si>
    <t>판정</t>
  </si>
  <si>
    <t>목표는 전투 기획서 C10 기준 체감(잡몹 공격 4~5번, 보스 공격 3~4번에 쓰러짐)에서 가져왔습니다. 구속 공격은 데미지보다 구속 시간이 핵심이라 비교하지 않습니다.</t>
  </si>
  <si>
    <t>4. 그래프용 표 (위 값으로 자동 계산)</t>
  </si>
  <si>
    <t>4-1. 적 회피율을 바꾸면: 막손이 1타만으로 처치하는 기대 타수</t>
  </si>
  <si>
    <t>적 회피율(만분율)</t>
  </si>
  <si>
    <t>4-2. 막손 치명타율을 바꾸면: 1타만으로 처치하는 기대 타수 (적 회피율은 2번 표 값)</t>
  </si>
  <si>
    <t>막손 치명타율(만분율)</t>
  </si>
  <si>
    <t>4-3. 막손 회피율을 바꾸면: 막손이 쓰러질 때까지 기대 피격 횟수</t>
  </si>
  <si>
    <t>막손 회피율(만분율)</t>
  </si>
  <si>
    <t>5. 요약 그래프 (현재 시트 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</si>
</sst>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rgb="FFCC1919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2" fontId="3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3" numFmtId="0" xfId="0" applyFont="1"/>
    <xf borderId="0" fillId="5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6" fontId="9" numFmtId="0" xfId="0" applyAlignment="1" applyFill="1" applyFont="1">
      <alignment readingOrder="0" shrinkToFit="0" vertical="center" wrapText="1"/>
    </xf>
    <xf borderId="0" fillId="5" fontId="7" numFmtId="0" xfId="0" applyAlignment="1" applyFill="1" applyFont="1">
      <alignment readingOrder="0"/>
    </xf>
    <xf borderId="0" fillId="5" fontId="7" numFmtId="0" xfId="0" applyFill="1" applyFont="1"/>
    <xf borderId="0" fillId="0" fontId="7" numFmtId="164" xfId="0" applyFont="1" applyNumberFormat="1"/>
    <xf borderId="0" fillId="5" fontId="7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6" fontId="9" numFmtId="0" xfId="0" applyAlignment="1" applyFill="1" applyFont="1">
      <alignment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>
        <b/>
      </font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 선형 그래프: HP·ATK·체세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StatCurve!$B$9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StatCurve!$A$10:$A$14</c:f>
            </c:strRef>
          </c:cat>
          <c:val>
            <c:numRef>
              <c:f>StatCurve!$B$10:$B$14</c:f>
              <c:numCache/>
            </c:numRef>
          </c:val>
          <c:smooth val="0"/>
        </c:ser>
        <c:ser>
          <c:idx val="1"/>
          <c:order val="1"/>
          <c:tx>
            <c:strRef>
              <c:f>StatCurve!$C$9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StatCurve!$A$10:$A$14</c:f>
            </c:strRef>
          </c:cat>
          <c:val>
            <c:numRef>
              <c:f>StatCurve!$C$10:$C$14</c:f>
              <c:numCache/>
            </c:numRef>
          </c:val>
          <c:smooth val="0"/>
        </c:ser>
        <c:ser>
          <c:idx val="2"/>
          <c:order val="2"/>
          <c:tx>
            <c:strRef>
              <c:f>StatCurve!$F$9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StatCurve!$A$10:$A$14</c:f>
            </c:strRef>
          </c:cat>
          <c:val>
            <c:numRef>
              <c:f>StatCurve!$F$10:$F$14</c:f>
              <c:numCache/>
            </c:numRef>
          </c:val>
          <c:smooth val="0"/>
        </c:ser>
        <c:axId val="1508250706"/>
        <c:axId val="645155228"/>
      </c:lineChart>
      <c:catAx>
        <c:axId val="1508250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Tier (등급)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155228"/>
      </c:catAx>
      <c:valAx>
        <c:axId val="645155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값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25070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 선형 그래프: DEF·회피율 (만분율)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StatCurve!$D$9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StatCurve!$A$10:$A$14</c:f>
            </c:strRef>
          </c:cat>
          <c:val>
            <c:numRef>
              <c:f>StatCurve!$D$10:$D$14</c:f>
              <c:numCache/>
            </c:numRef>
          </c:val>
          <c:smooth val="0"/>
        </c:ser>
        <c:ser>
          <c:idx val="1"/>
          <c:order val="1"/>
          <c:tx>
            <c:strRef>
              <c:f>StatCurve!$E$9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StatCurve!$A$10:$A$14</c:f>
            </c:strRef>
          </c:cat>
          <c:val>
            <c:numRef>
              <c:f>StatCurve!$E$10:$E$14</c:f>
              <c:numCache/>
            </c:numRef>
          </c:val>
          <c:smooth val="0"/>
        </c:ser>
        <c:axId val="1903956837"/>
        <c:axId val="332593624"/>
      </c:lineChart>
      <c:catAx>
        <c:axId val="1903956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Tier (등급)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593624"/>
      </c:catAx>
      <c:valAx>
        <c:axId val="332593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만분율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9568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적 회피율이 오르면 막손이 잡는 데 필요한 타수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Balance!$B$45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Balance!$A$46:$A$56</c:f>
            </c:strRef>
          </c:cat>
          <c:val>
            <c:numRef>
              <c:f>Balance!$B$46:$B$56</c:f>
              <c:numCache/>
            </c:numRef>
          </c:val>
          <c:smooth val="0"/>
        </c:ser>
        <c:ser>
          <c:idx val="1"/>
          <c:order val="1"/>
          <c:tx>
            <c:strRef>
              <c:f>Balance!$C$45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Balance!$A$46:$A$56</c:f>
            </c:strRef>
          </c:cat>
          <c:val>
            <c:numRef>
              <c:f>Balance!$C$46:$C$56</c:f>
              <c:numCache/>
            </c:numRef>
          </c:val>
          <c:smooth val="0"/>
        </c:ser>
        <c:ser>
          <c:idx val="2"/>
          <c:order val="2"/>
          <c:tx>
            <c:strRef>
              <c:f>Balance!$D$45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Balance!$A$46:$A$56</c:f>
            </c:strRef>
          </c:cat>
          <c:val>
            <c:numRef>
              <c:f>Balance!$D$46:$D$56</c:f>
              <c:numCache/>
            </c:numRef>
          </c:val>
          <c:smooth val="0"/>
        </c:ser>
        <c:ser>
          <c:idx val="3"/>
          <c:order val="3"/>
          <c:tx>
            <c:strRef>
              <c:f>Balance!$E$45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Balance!$A$46:$A$56</c:f>
            </c:strRef>
          </c:cat>
          <c:val>
            <c:numRef>
              <c:f>Balance!$E$46:$E$56</c:f>
              <c:numCache/>
            </c:numRef>
          </c:val>
          <c:smooth val="0"/>
        </c:ser>
        <c:ser>
          <c:idx val="4"/>
          <c:order val="4"/>
          <c:tx>
            <c:strRef>
              <c:f>Balance!$F$45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Balance!$A$46:$A$56</c:f>
            </c:strRef>
          </c:cat>
          <c:val>
            <c:numRef>
              <c:f>Balance!$F$46:$F$56</c:f>
              <c:numCache/>
            </c:numRef>
          </c:val>
          <c:smooth val="0"/>
        </c:ser>
        <c:axId val="2008418042"/>
        <c:axId val="731103985"/>
      </c:lineChart>
      <c:catAx>
        <c:axId val="2008418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적 회피율(만분율)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103985"/>
      </c:catAx>
      <c:valAx>
        <c:axId val="731103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41804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막손 치명타율이 오르면 필요한 타수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Balance!$B$59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Balance!$A$60:$A$70</c:f>
            </c:strRef>
          </c:cat>
          <c:val>
            <c:numRef>
              <c:f>Balance!$B$60:$B$70</c:f>
              <c:numCache/>
            </c:numRef>
          </c:val>
          <c:smooth val="0"/>
        </c:ser>
        <c:ser>
          <c:idx val="1"/>
          <c:order val="1"/>
          <c:tx>
            <c:strRef>
              <c:f>Balance!$C$59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Balance!$A$60:$A$70</c:f>
            </c:strRef>
          </c:cat>
          <c:val>
            <c:numRef>
              <c:f>Balance!$C$60:$C$70</c:f>
              <c:numCache/>
            </c:numRef>
          </c:val>
          <c:smooth val="0"/>
        </c:ser>
        <c:ser>
          <c:idx val="2"/>
          <c:order val="2"/>
          <c:tx>
            <c:strRef>
              <c:f>Balance!$D$59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Balance!$A$60:$A$70</c:f>
            </c:strRef>
          </c:cat>
          <c:val>
            <c:numRef>
              <c:f>Balance!$D$60:$D$70</c:f>
              <c:numCache/>
            </c:numRef>
          </c:val>
          <c:smooth val="0"/>
        </c:ser>
        <c:ser>
          <c:idx val="3"/>
          <c:order val="3"/>
          <c:tx>
            <c:strRef>
              <c:f>Balance!$E$59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Balance!$A$60:$A$70</c:f>
            </c:strRef>
          </c:cat>
          <c:val>
            <c:numRef>
              <c:f>Balance!$E$60:$E$70</c:f>
              <c:numCache/>
            </c:numRef>
          </c:val>
          <c:smooth val="0"/>
        </c:ser>
        <c:ser>
          <c:idx val="4"/>
          <c:order val="4"/>
          <c:tx>
            <c:strRef>
              <c:f>Balance!$F$59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Balance!$A$60:$A$70</c:f>
            </c:strRef>
          </c:cat>
          <c:val>
            <c:numRef>
              <c:f>Balance!$F$60:$F$70</c:f>
              <c:numCache/>
            </c:numRef>
          </c:val>
          <c:smooth val="0"/>
        </c:ser>
        <c:axId val="1763712879"/>
        <c:axId val="1657331220"/>
      </c:lineChart>
      <c:catAx>
        <c:axId val="176371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막손 치명타율(만분율)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331220"/>
      </c:catAx>
      <c:valAx>
        <c:axId val="1657331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7128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막손 회피율이 오르면 버티는 횟수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Balance!$B$73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Balance!$A$74:$A$84</c:f>
            </c:strRef>
          </c:cat>
          <c:val>
            <c:numRef>
              <c:f>Balance!$B$74:$B$84</c:f>
              <c:numCache/>
            </c:numRef>
          </c:val>
          <c:smooth val="0"/>
        </c:ser>
        <c:ser>
          <c:idx val="1"/>
          <c:order val="1"/>
          <c:tx>
            <c:strRef>
              <c:f>Balance!$C$73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Balance!$A$74:$A$84</c:f>
            </c:strRef>
          </c:cat>
          <c:val>
            <c:numRef>
              <c:f>Balance!$C$74:$C$84</c:f>
              <c:numCache/>
            </c:numRef>
          </c:val>
          <c:smooth val="0"/>
        </c:ser>
        <c:ser>
          <c:idx val="2"/>
          <c:order val="2"/>
          <c:tx>
            <c:strRef>
              <c:f>Balance!$D$73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Balance!$A$74:$A$84</c:f>
            </c:strRef>
          </c:cat>
          <c:val>
            <c:numRef>
              <c:f>Balance!$D$74:$D$84</c:f>
              <c:numCache/>
            </c:numRef>
          </c:val>
          <c:smooth val="0"/>
        </c:ser>
        <c:ser>
          <c:idx val="3"/>
          <c:order val="3"/>
          <c:tx>
            <c:strRef>
              <c:f>Balance!$E$73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Balance!$A$74:$A$84</c:f>
            </c:strRef>
          </c:cat>
          <c:val>
            <c:numRef>
              <c:f>Balance!$E$74:$E$84</c:f>
              <c:numCache/>
            </c:numRef>
          </c:val>
          <c:smooth val="0"/>
        </c:ser>
        <c:axId val="827255561"/>
        <c:axId val="204122475"/>
      </c:lineChart>
      <c:catAx>
        <c:axId val="827255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막손 회피율(만분율)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22475"/>
      </c:catAx>
      <c:valAx>
        <c:axId val="204122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2555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대상별 1타 처치 타수: 회피·치명 없음 vs 반영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Balance!$X$22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Balance!$B$23:$B$27</c:f>
            </c:strRef>
          </c:cat>
          <c:val>
            <c:numRef>
              <c:f>Balance!$X$23:$X$27</c:f>
              <c:numCache/>
            </c:numRef>
          </c:val>
        </c:ser>
        <c:ser>
          <c:idx val="1"/>
          <c:order val="1"/>
          <c:tx>
            <c:strRef>
              <c:f>Balance!$Y$22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Balance!$B$23:$B$27</c:f>
            </c:strRef>
          </c:cat>
          <c:val>
            <c:numRef>
              <c:f>Balance!$Y$23:$Y$27</c:f>
              <c:numCache/>
            </c:numRef>
          </c:val>
        </c:ser>
        <c:axId val="1053429086"/>
        <c:axId val="1550391035"/>
      </c:barChart>
      <c:catAx>
        <c:axId val="1053429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대상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391035"/>
      </c:catAx>
      <c:valAx>
        <c:axId val="1550391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타수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4290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적 공격별 막손이 버티는 횟수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Balance!$L$31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Balance!$A$32:$A$40</c:f>
            </c:strRef>
          </c:cat>
          <c:val>
            <c:numRef>
              <c:f>Balance!$L$32:$L$40</c:f>
              <c:numCache/>
            </c:numRef>
          </c:val>
        </c:ser>
        <c:ser>
          <c:idx val="1"/>
          <c:order val="1"/>
          <c:tx>
            <c:strRef>
              <c:f>Balance!$M$31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Balance!$A$32:$A$40</c:f>
            </c:strRef>
          </c:cat>
          <c:val>
            <c:numRef>
              <c:f>Balance!$M$32:$M$40</c:f>
              <c:numCache/>
            </c:numRef>
          </c:val>
        </c:ser>
        <c:axId val="659405993"/>
        <c:axId val="1836549333"/>
      </c:barChart>
      <c:catAx>
        <c:axId val="65940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공격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549333"/>
      </c:catAx>
      <c:valAx>
        <c:axId val="1836549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피격 횟수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4059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5334000" cy="3048000"/>
    <xdr:graphicFrame>
      <xdr:nvGraphicFramePr>
        <xdr:cNvPr id="1" name="Chart 1" title="STAT 선형 그래프: HP·ATK·체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17</xdr:row>
      <xdr:rowOff>0</xdr:rowOff>
    </xdr:from>
    <xdr:ext cx="5334000" cy="3048000"/>
    <xdr:graphicFrame>
      <xdr:nvGraphicFramePr>
        <xdr:cNvPr id="3" name="Chart 3" title="STAT 선형 그래프: DEF·회피율 (만분율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43</xdr:row>
      <xdr:rowOff>0</xdr:rowOff>
    </xdr:from>
    <xdr:ext cx="5905500" cy="2762250"/>
    <xdr:graphicFrame>
      <xdr:nvGraphicFramePr>
        <xdr:cNvPr id="2" name="Chart 2" title="적 회피율이 오르면 막손이 잡는 데 필요한 타수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57</xdr:row>
      <xdr:rowOff>0</xdr:rowOff>
    </xdr:from>
    <xdr:ext cx="5905500" cy="2762250"/>
    <xdr:graphicFrame>
      <xdr:nvGraphicFramePr>
        <xdr:cNvPr id="4" name="Chart 4" title="막손 치명타율이 오르면 필요한 타수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71</xdr:row>
      <xdr:rowOff>0</xdr:rowOff>
    </xdr:from>
    <xdr:ext cx="5905500" cy="2762250"/>
    <xdr:graphicFrame>
      <xdr:nvGraphicFramePr>
        <xdr:cNvPr id="5" name="Chart 5" title="막손 회피율이 오르면 버티는 횟수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86</xdr:row>
      <xdr:rowOff>0</xdr:rowOff>
    </xdr:from>
    <xdr:ext cx="5905500" cy="2762250"/>
    <xdr:graphicFrame>
      <xdr:nvGraphicFramePr>
        <xdr:cNvPr id="6" name="Chart 6" title="대상별 1타 처치 타수: 회피·치명 없음 vs 반영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0</xdr:colOff>
      <xdr:row>86</xdr:row>
      <xdr:rowOff>0</xdr:rowOff>
    </xdr:from>
    <xdr:ext cx="5905500" cy="2762250"/>
    <xdr:graphicFrame>
      <xdr:nvGraphicFramePr>
        <xdr:cNvPr id="7" name="Chart 7" title="적 공격별 막손이 버티는 횟수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65.13"/>
    <col customWidth="1" min="3" max="3" width="20.13"/>
  </cols>
  <sheetData>
    <row r="1">
      <c r="A1" s="1" t="s">
        <v>1</v>
      </c>
    </row>
    <row r="2">
      <c r="A2" s="2" t="s">
        <v>3</v>
      </c>
    </row>
    <row r="4">
      <c r="A4" s="5" t="s">
        <v>4</v>
      </c>
      <c r="B4" s="5" t="s">
        <v>9</v>
      </c>
      <c r="C4" s="6"/>
    </row>
    <row r="5">
      <c r="A5" s="2" t="s">
        <v>19</v>
      </c>
      <c r="B5" s="2" t="s">
        <v>21</v>
      </c>
    </row>
    <row r="6">
      <c r="A6" s="2" t="s">
        <v>26</v>
      </c>
      <c r="B6" s="2" t="s">
        <v>29</v>
      </c>
    </row>
    <row r="7">
      <c r="A7" s="2" t="s">
        <v>32</v>
      </c>
      <c r="B7" s="2" t="s">
        <v>34</v>
      </c>
    </row>
    <row r="8">
      <c r="A8" s="2" t="s">
        <v>36</v>
      </c>
      <c r="B8" s="2" t="s">
        <v>38</v>
      </c>
    </row>
    <row r="9">
      <c r="A9" s="2" t="s">
        <v>40</v>
      </c>
      <c r="B9" s="2" t="s">
        <v>43</v>
      </c>
    </row>
    <row r="10">
      <c r="A10" s="2" t="s">
        <v>48</v>
      </c>
      <c r="B10" s="2" t="s">
        <v>51</v>
      </c>
    </row>
    <row r="11">
      <c r="A11" s="2" t="s">
        <v>57</v>
      </c>
      <c r="B11" s="2" t="s">
        <v>59</v>
      </c>
    </row>
    <row r="12">
      <c r="A12" s="2" t="s">
        <v>60</v>
      </c>
      <c r="B12" s="2" t="s">
        <v>61</v>
      </c>
    </row>
    <row r="13">
      <c r="A13" s="2" t="s">
        <v>63</v>
      </c>
      <c r="B13" s="2" t="s">
        <v>65</v>
      </c>
    </row>
    <row r="14">
      <c r="A14" s="5"/>
      <c r="B14" s="5"/>
      <c r="C14" s="5"/>
    </row>
    <row r="15">
      <c r="A15" s="2" t="s">
        <v>69</v>
      </c>
      <c r="B15" s="2" t="s">
        <v>71</v>
      </c>
      <c r="C15" s="2" t="s">
        <v>9</v>
      </c>
    </row>
    <row r="16">
      <c r="A16" s="2" t="s">
        <v>73</v>
      </c>
      <c r="B16" s="2" t="s">
        <v>7</v>
      </c>
      <c r="C16" s="2" t="s">
        <v>75</v>
      </c>
    </row>
    <row r="17">
      <c r="A17" s="2" t="s">
        <v>77</v>
      </c>
      <c r="B17" s="2" t="s">
        <v>8</v>
      </c>
      <c r="C17" s="2" t="s">
        <v>80</v>
      </c>
    </row>
    <row r="18">
      <c r="A18" s="2" t="s">
        <v>82</v>
      </c>
      <c r="B18" s="2" t="s">
        <v>10</v>
      </c>
      <c r="C18" s="2" t="s">
        <v>84</v>
      </c>
    </row>
    <row r="19">
      <c r="A19" s="2" t="s">
        <v>85</v>
      </c>
      <c r="B19" s="2" t="s">
        <v>11</v>
      </c>
      <c r="C19" s="2" t="s">
        <v>87</v>
      </c>
    </row>
    <row r="20">
      <c r="A20" s="2" t="s">
        <v>89</v>
      </c>
      <c r="B20" s="2" t="s">
        <v>13</v>
      </c>
      <c r="C20" s="2" t="s">
        <v>90</v>
      </c>
    </row>
    <row r="21">
      <c r="A21" s="2" t="s">
        <v>93</v>
      </c>
      <c r="B21" s="2" t="s">
        <v>14</v>
      </c>
      <c r="C21" s="2" t="s">
        <v>95</v>
      </c>
    </row>
    <row r="22">
      <c r="A22" s="2" t="s">
        <v>97</v>
      </c>
      <c r="B22" s="2" t="s">
        <v>16</v>
      </c>
      <c r="C22" s="2" t="s">
        <v>99</v>
      </c>
    </row>
    <row r="23">
      <c r="A23" s="2" t="s">
        <v>103</v>
      </c>
      <c r="B23" s="2" t="s">
        <v>23</v>
      </c>
      <c r="C23" s="2" t="s">
        <v>107</v>
      </c>
    </row>
    <row r="24">
      <c r="A24" s="2" t="s">
        <v>109</v>
      </c>
      <c r="B24" s="2" t="s">
        <v>25</v>
      </c>
      <c r="C24" s="2" t="s">
        <v>112</v>
      </c>
    </row>
    <row r="25">
      <c r="A25" s="2" t="s">
        <v>88</v>
      </c>
      <c r="B25" s="2" t="s">
        <v>18</v>
      </c>
      <c r="C25" s="2" t="s">
        <v>116</v>
      </c>
    </row>
    <row r="26">
      <c r="A26" s="2" t="s">
        <v>68</v>
      </c>
      <c r="B26" s="2" t="s">
        <v>66</v>
      </c>
      <c r="C26" s="2" t="s">
        <v>119</v>
      </c>
    </row>
    <row r="27">
      <c r="A27" s="2" t="s">
        <v>78</v>
      </c>
      <c r="B27" s="2" t="s">
        <v>27</v>
      </c>
      <c r="C27" s="2" t="s">
        <v>122</v>
      </c>
    </row>
    <row r="29">
      <c r="A29" s="2" t="s">
        <v>125</v>
      </c>
      <c r="B29" s="2" t="s">
        <v>9</v>
      </c>
    </row>
    <row r="30">
      <c r="A30" s="2" t="s">
        <v>128</v>
      </c>
      <c r="B30" s="2" t="s">
        <v>129</v>
      </c>
    </row>
    <row r="31">
      <c r="A31" s="2" t="s">
        <v>131</v>
      </c>
      <c r="B31" s="2" t="s">
        <v>132</v>
      </c>
    </row>
    <row r="32">
      <c r="A32" s="2" t="s">
        <v>20</v>
      </c>
      <c r="B32" s="2" t="s">
        <v>135</v>
      </c>
    </row>
    <row r="33">
      <c r="A33" s="2" t="s">
        <v>136</v>
      </c>
      <c r="B33" s="2" t="s">
        <v>137</v>
      </c>
    </row>
    <row r="35">
      <c r="A35" s="2" t="s">
        <v>140</v>
      </c>
      <c r="B35" s="2" t="s">
        <v>141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73.13"/>
    <col customWidth="1" min="3" max="3" width="20.0"/>
    <col customWidth="1" min="4" max="4" width="8.5"/>
    <col customWidth="1" min="5" max="5" width="6.75"/>
    <col customWidth="1" min="6" max="6" width="32.38"/>
    <col customWidth="1" min="7" max="7" width="10.38"/>
    <col customWidth="1" min="8" max="8" width="5.38"/>
    <col customWidth="1" min="9" max="9" width="4.75"/>
    <col customWidth="1" min="10" max="10" width="8.13"/>
    <col customWidth="1" min="11" max="11" width="8.5"/>
    <col customWidth="1" min="12" max="12" width="9.13"/>
    <col customWidth="1" min="13" max="13" width="7.88"/>
    <col customWidth="1" min="14" max="14" width="8.38"/>
  </cols>
  <sheetData>
    <row r="1">
      <c r="A1" s="1" t="s">
        <v>0</v>
      </c>
    </row>
    <row r="2">
      <c r="A2" s="2" t="s">
        <v>2</v>
      </c>
    </row>
    <row r="4">
      <c r="A4" s="4" t="s">
        <v>5</v>
      </c>
      <c r="B4" s="4" t="s">
        <v>7</v>
      </c>
      <c r="C4" s="4" t="s">
        <v>8</v>
      </c>
      <c r="D4" s="4" t="s">
        <v>10</v>
      </c>
      <c r="E4" s="4" t="s">
        <v>11</v>
      </c>
      <c r="F4" s="4" t="s">
        <v>13</v>
      </c>
      <c r="G4" s="4" t="s">
        <v>14</v>
      </c>
      <c r="H4" s="4" t="s">
        <v>16</v>
      </c>
      <c r="I4" s="4" t="s">
        <v>18</v>
      </c>
      <c r="J4" s="4" t="s">
        <v>20</v>
      </c>
      <c r="K4" s="4" t="s">
        <v>23</v>
      </c>
      <c r="L4" s="4" t="s">
        <v>25</v>
      </c>
      <c r="M4" s="4" t="s">
        <v>27</v>
      </c>
      <c r="N4" s="4" t="s">
        <v>30</v>
      </c>
    </row>
    <row r="5">
      <c r="A5" s="7" t="s">
        <v>7</v>
      </c>
      <c r="B5" s="8"/>
      <c r="C5" s="8"/>
      <c r="D5" s="8"/>
      <c r="E5" s="8"/>
      <c r="F5" s="8"/>
      <c r="G5" s="8"/>
      <c r="H5" s="8"/>
      <c r="I5" s="8"/>
      <c r="J5" s="10" t="s">
        <v>41</v>
      </c>
      <c r="K5" s="8"/>
      <c r="L5" s="8"/>
      <c r="M5" s="10" t="s">
        <v>46</v>
      </c>
      <c r="N5" s="8"/>
    </row>
    <row r="6">
      <c r="A6" s="7" t="s">
        <v>8</v>
      </c>
      <c r="B6" s="10" t="s">
        <v>50</v>
      </c>
      <c r="C6" s="8"/>
      <c r="D6" s="8"/>
      <c r="E6" s="8"/>
      <c r="F6" s="8"/>
      <c r="G6" s="10" t="s">
        <v>55</v>
      </c>
      <c r="H6" s="8"/>
      <c r="I6" s="8"/>
      <c r="J6" s="8"/>
      <c r="K6" s="8"/>
      <c r="L6" s="8"/>
      <c r="M6" s="8"/>
      <c r="N6" s="8"/>
    </row>
    <row r="7">
      <c r="A7" s="7" t="s">
        <v>10</v>
      </c>
      <c r="B7" s="10" t="s">
        <v>50</v>
      </c>
      <c r="C7" s="8"/>
      <c r="D7" s="8"/>
      <c r="E7" s="8"/>
      <c r="F7" s="10" t="s">
        <v>62</v>
      </c>
      <c r="G7" s="8"/>
      <c r="H7" s="8"/>
      <c r="I7" s="8"/>
      <c r="J7" s="8"/>
      <c r="K7" s="8"/>
      <c r="L7" s="8"/>
      <c r="M7" s="8"/>
      <c r="N7" s="8"/>
    </row>
    <row r="8">
      <c r="A8" s="7" t="s">
        <v>11</v>
      </c>
      <c r="B8" s="10" t="s">
        <v>50</v>
      </c>
      <c r="C8" s="8"/>
      <c r="D8" s="8"/>
      <c r="E8" s="8"/>
      <c r="F8" s="10" t="s">
        <v>62</v>
      </c>
      <c r="G8" s="8"/>
      <c r="H8" s="8"/>
      <c r="I8" s="8"/>
      <c r="J8" s="8"/>
      <c r="K8" s="8"/>
      <c r="L8" s="8"/>
      <c r="M8" s="8"/>
      <c r="N8" s="8"/>
    </row>
    <row r="9">
      <c r="A9" s="7" t="s">
        <v>13</v>
      </c>
      <c r="B9" s="10" t="s">
        <v>76</v>
      </c>
      <c r="C9" s="8"/>
      <c r="D9" s="8"/>
      <c r="E9" s="8"/>
      <c r="F9" s="8"/>
      <c r="G9" s="8"/>
      <c r="H9" s="8"/>
      <c r="I9" s="10" t="s">
        <v>79</v>
      </c>
      <c r="J9" s="8"/>
      <c r="K9" s="8"/>
      <c r="L9" s="8"/>
      <c r="M9" s="10" t="s">
        <v>46</v>
      </c>
      <c r="N9" s="8"/>
    </row>
    <row r="10">
      <c r="A10" s="7" t="s">
        <v>14</v>
      </c>
      <c r="B10" s="8"/>
      <c r="C10" s="8"/>
      <c r="D10" s="8"/>
      <c r="E10" s="8"/>
      <c r="F10" s="10" t="s">
        <v>62</v>
      </c>
      <c r="G10" s="8"/>
      <c r="H10" s="10" t="s">
        <v>86</v>
      </c>
      <c r="I10" s="8"/>
      <c r="J10" s="8"/>
      <c r="K10" s="8"/>
      <c r="L10" s="8"/>
      <c r="M10" s="10" t="s">
        <v>46</v>
      </c>
      <c r="N10" s="8"/>
    </row>
    <row r="11">
      <c r="A11" s="7" t="s">
        <v>16</v>
      </c>
      <c r="B11" s="8"/>
      <c r="C11" s="8"/>
      <c r="D11" s="8"/>
      <c r="E11" s="8"/>
      <c r="F11" s="10" t="s">
        <v>92</v>
      </c>
      <c r="G11" s="10" t="s">
        <v>94</v>
      </c>
      <c r="H11" s="8"/>
      <c r="I11" s="8"/>
      <c r="J11" s="8"/>
      <c r="K11" s="8"/>
      <c r="L11" s="8"/>
      <c r="M11" s="10" t="s">
        <v>46</v>
      </c>
      <c r="N11" s="8"/>
    </row>
    <row r="12">
      <c r="A12" s="7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7" t="s">
        <v>20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23</v>
      </c>
      <c r="B14" s="8"/>
      <c r="C14" s="8"/>
      <c r="D14" s="8"/>
      <c r="E14" s="8"/>
      <c r="F14" s="8"/>
      <c r="G14" s="8"/>
      <c r="H14" s="8"/>
      <c r="I14" s="8"/>
      <c r="J14" s="8"/>
      <c r="K14" s="10" t="s">
        <v>118</v>
      </c>
      <c r="L14" s="8"/>
      <c r="M14" s="10" t="s">
        <v>46</v>
      </c>
      <c r="N14" s="10" t="s">
        <v>121</v>
      </c>
    </row>
    <row r="15">
      <c r="A15" s="7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10" t="s">
        <v>124</v>
      </c>
      <c r="L15" s="8"/>
      <c r="M15" s="8"/>
      <c r="N15" s="8"/>
    </row>
    <row r="16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>
      <c r="A17" s="7" t="s">
        <v>30</v>
      </c>
      <c r="B17" s="8"/>
      <c r="C17" s="8"/>
      <c r="D17" s="10" t="s">
        <v>134</v>
      </c>
      <c r="E17" s="8"/>
      <c r="F17" s="8"/>
      <c r="G17" s="8"/>
      <c r="H17" s="8"/>
      <c r="I17" s="8"/>
      <c r="J17" s="8"/>
      <c r="K17" s="8"/>
      <c r="L17" s="8"/>
      <c r="M17" s="8"/>
      <c r="N17" s="8"/>
    </row>
    <row r="18">
      <c r="A18" s="7" t="s">
        <v>138</v>
      </c>
      <c r="B18" s="10">
        <v>4.0</v>
      </c>
      <c r="C18" s="10">
        <v>0.0</v>
      </c>
      <c r="D18" s="10">
        <v>1.0</v>
      </c>
      <c r="E18" s="10">
        <v>0.0</v>
      </c>
      <c r="F18" s="10">
        <v>4.0</v>
      </c>
      <c r="G18" s="10">
        <v>2.0</v>
      </c>
      <c r="H18" s="10">
        <v>1.0</v>
      </c>
      <c r="I18" s="10">
        <v>1.0</v>
      </c>
      <c r="J18" s="10">
        <v>1.0</v>
      </c>
      <c r="K18" s="10">
        <v>2.0</v>
      </c>
      <c r="L18" s="10">
        <v>0.0</v>
      </c>
      <c r="M18" s="10">
        <v>5.0</v>
      </c>
      <c r="N18" s="10">
        <v>1.0</v>
      </c>
    </row>
    <row r="20">
      <c r="A20" s="12" t="s">
        <v>144</v>
      </c>
    </row>
    <row r="21">
      <c r="A21" s="7" t="s">
        <v>146</v>
      </c>
      <c r="B21" s="7" t="s">
        <v>147</v>
      </c>
      <c r="C21" s="7" t="s">
        <v>148</v>
      </c>
      <c r="D21" s="7" t="s">
        <v>149</v>
      </c>
      <c r="E21" s="7" t="s">
        <v>150</v>
      </c>
      <c r="F21" s="7" t="s">
        <v>151</v>
      </c>
    </row>
    <row r="22">
      <c r="A22" s="2" t="s">
        <v>7</v>
      </c>
      <c r="B22" s="2" t="s">
        <v>41</v>
      </c>
      <c r="C22" s="2" t="s">
        <v>20</v>
      </c>
      <c r="D22" s="2" t="s">
        <v>41</v>
      </c>
      <c r="E22" s="2" t="s">
        <v>152</v>
      </c>
      <c r="F22" s="2" t="s">
        <v>153</v>
      </c>
    </row>
    <row r="23">
      <c r="A23" s="2" t="s">
        <v>7</v>
      </c>
      <c r="B23" s="2" t="s">
        <v>46</v>
      </c>
      <c r="C23" s="2" t="s">
        <v>27</v>
      </c>
      <c r="D23" s="2" t="s">
        <v>37</v>
      </c>
      <c r="E23" s="2" t="s">
        <v>152</v>
      </c>
      <c r="F23" s="2" t="s">
        <v>154</v>
      </c>
    </row>
    <row r="24">
      <c r="A24" s="2" t="s">
        <v>8</v>
      </c>
      <c r="B24" s="2" t="s">
        <v>50</v>
      </c>
      <c r="C24" s="2" t="s">
        <v>7</v>
      </c>
      <c r="D24" s="2" t="s">
        <v>37</v>
      </c>
      <c r="E24" s="2" t="s">
        <v>152</v>
      </c>
      <c r="F24" s="2">
        <v>1001.0</v>
      </c>
    </row>
    <row r="25">
      <c r="A25" s="2" t="s">
        <v>8</v>
      </c>
      <c r="B25" s="2" t="s">
        <v>55</v>
      </c>
      <c r="C25" s="2" t="s">
        <v>14</v>
      </c>
      <c r="D25" s="2" t="s">
        <v>37</v>
      </c>
      <c r="E25" s="2" t="s">
        <v>152</v>
      </c>
      <c r="F25" s="2">
        <v>6001.0</v>
      </c>
    </row>
    <row r="26">
      <c r="A26" s="2" t="s">
        <v>10</v>
      </c>
      <c r="B26" s="2" t="s">
        <v>50</v>
      </c>
      <c r="C26" s="2" t="s">
        <v>7</v>
      </c>
      <c r="D26" s="2" t="s">
        <v>37</v>
      </c>
      <c r="E26" s="2" t="s">
        <v>152</v>
      </c>
      <c r="F26" s="2">
        <v>1002.0</v>
      </c>
    </row>
    <row r="27">
      <c r="A27" s="2" t="s">
        <v>10</v>
      </c>
      <c r="B27" s="2" t="s">
        <v>62</v>
      </c>
      <c r="C27" s="2" t="s">
        <v>13</v>
      </c>
      <c r="D27" s="2" t="s">
        <v>37</v>
      </c>
      <c r="E27" s="2" t="s">
        <v>155</v>
      </c>
      <c r="F27" s="2" t="s">
        <v>156</v>
      </c>
    </row>
    <row r="28">
      <c r="A28" s="2" t="s">
        <v>11</v>
      </c>
      <c r="B28" s="2" t="s">
        <v>50</v>
      </c>
      <c r="C28" s="2" t="s">
        <v>7</v>
      </c>
      <c r="D28" s="2" t="s">
        <v>37</v>
      </c>
      <c r="E28" s="2" t="s">
        <v>152</v>
      </c>
      <c r="F28" s="2">
        <v>1006.0</v>
      </c>
    </row>
    <row r="29">
      <c r="A29" s="2" t="s">
        <v>11</v>
      </c>
      <c r="B29" s="2" t="s">
        <v>62</v>
      </c>
      <c r="C29" s="2" t="s">
        <v>13</v>
      </c>
      <c r="D29" s="2" t="s">
        <v>37</v>
      </c>
      <c r="E29" s="2" t="s">
        <v>155</v>
      </c>
      <c r="F29" s="2" t="s">
        <v>157</v>
      </c>
    </row>
    <row r="30">
      <c r="A30" s="2" t="s">
        <v>13</v>
      </c>
      <c r="B30" s="2" t="s">
        <v>76</v>
      </c>
      <c r="C30" s="2" t="s">
        <v>7</v>
      </c>
      <c r="D30" s="2" t="s">
        <v>37</v>
      </c>
      <c r="E30" s="2" t="s">
        <v>152</v>
      </c>
      <c r="F30" s="2">
        <v>1001.0</v>
      </c>
    </row>
    <row r="31">
      <c r="A31" s="2" t="s">
        <v>13</v>
      </c>
      <c r="B31" s="2" t="s">
        <v>79</v>
      </c>
      <c r="C31" s="2" t="s">
        <v>18</v>
      </c>
      <c r="D31" s="2" t="s">
        <v>37</v>
      </c>
      <c r="E31" s="2" t="s">
        <v>152</v>
      </c>
      <c r="F31" s="2" t="s">
        <v>158</v>
      </c>
    </row>
    <row r="32">
      <c r="A32" s="2" t="s">
        <v>13</v>
      </c>
      <c r="B32" s="2" t="s">
        <v>46</v>
      </c>
      <c r="C32" s="2" t="s">
        <v>27</v>
      </c>
      <c r="D32" s="2" t="s">
        <v>37</v>
      </c>
      <c r="E32" s="2" t="s">
        <v>152</v>
      </c>
      <c r="F32" s="2">
        <v>30015.0</v>
      </c>
    </row>
    <row r="33">
      <c r="A33" s="2" t="s">
        <v>14</v>
      </c>
      <c r="B33" s="2" t="s">
        <v>62</v>
      </c>
      <c r="C33" s="2" t="s">
        <v>13</v>
      </c>
      <c r="D33" s="2" t="s">
        <v>37</v>
      </c>
      <c r="E33" s="2" t="s">
        <v>155</v>
      </c>
      <c r="F33" s="2" t="s">
        <v>159</v>
      </c>
    </row>
    <row r="34">
      <c r="A34" s="2" t="s">
        <v>14</v>
      </c>
      <c r="B34" s="2" t="s">
        <v>86</v>
      </c>
      <c r="C34" s="2" t="s">
        <v>16</v>
      </c>
      <c r="D34" s="2" t="s">
        <v>37</v>
      </c>
      <c r="E34" s="2" t="s">
        <v>152</v>
      </c>
      <c r="F34" s="2">
        <v>7001.0</v>
      </c>
    </row>
    <row r="35">
      <c r="A35" s="2" t="s">
        <v>16</v>
      </c>
      <c r="B35" s="2" t="s">
        <v>94</v>
      </c>
      <c r="C35" s="2" t="s">
        <v>14</v>
      </c>
      <c r="D35" s="2" t="s">
        <v>37</v>
      </c>
      <c r="E35" s="2" t="s">
        <v>152</v>
      </c>
      <c r="F35" s="2">
        <v>6001.0</v>
      </c>
    </row>
    <row r="36">
      <c r="A36" s="2" t="s">
        <v>16</v>
      </c>
      <c r="B36" s="2" t="s">
        <v>92</v>
      </c>
      <c r="C36" s="2" t="s">
        <v>13</v>
      </c>
      <c r="D36" s="2" t="s">
        <v>37</v>
      </c>
      <c r="E36" s="2" t="s">
        <v>152</v>
      </c>
      <c r="F36" s="2">
        <v>5006.0</v>
      </c>
    </row>
    <row r="37">
      <c r="A37" s="2" t="s">
        <v>23</v>
      </c>
      <c r="B37" s="2" t="s">
        <v>118</v>
      </c>
      <c r="C37" s="2" t="s">
        <v>23</v>
      </c>
      <c r="D37" s="2" t="s">
        <v>37</v>
      </c>
      <c r="E37" s="2" t="s">
        <v>160</v>
      </c>
      <c r="F37" s="2" t="s">
        <v>161</v>
      </c>
    </row>
    <row r="38">
      <c r="A38" s="2" t="s">
        <v>23</v>
      </c>
      <c r="B38" s="2" t="s">
        <v>121</v>
      </c>
      <c r="C38" s="2" t="s">
        <v>30</v>
      </c>
      <c r="D38" s="2" t="s">
        <v>162</v>
      </c>
      <c r="E38" s="2" t="s">
        <v>152</v>
      </c>
      <c r="F38" s="2" t="s">
        <v>163</v>
      </c>
    </row>
    <row r="39">
      <c r="A39" s="2" t="s">
        <v>25</v>
      </c>
      <c r="B39" s="2" t="s">
        <v>124</v>
      </c>
      <c r="C39" s="2" t="s">
        <v>23</v>
      </c>
      <c r="D39" s="2" t="s">
        <v>37</v>
      </c>
      <c r="E39" s="2" t="s">
        <v>152</v>
      </c>
      <c r="F39" s="2">
        <v>8001.0</v>
      </c>
    </row>
    <row r="40">
      <c r="A40" s="2" t="s">
        <v>30</v>
      </c>
      <c r="B40" s="2" t="s">
        <v>134</v>
      </c>
      <c r="C40" s="2" t="s">
        <v>10</v>
      </c>
      <c r="D40" s="2" t="s">
        <v>37</v>
      </c>
      <c r="E40" s="2" t="s">
        <v>152</v>
      </c>
      <c r="F40" s="2">
        <v>3001.0</v>
      </c>
    </row>
    <row r="41">
      <c r="A41" s="2" t="s">
        <v>164</v>
      </c>
      <c r="B41" s="2" t="s">
        <v>46</v>
      </c>
      <c r="C41" s="2" t="s">
        <v>27</v>
      </c>
      <c r="D41" s="2" t="s">
        <v>37</v>
      </c>
      <c r="E41" s="2" t="s">
        <v>152</v>
      </c>
      <c r="F41" s="2" t="s">
        <v>166</v>
      </c>
    </row>
    <row r="44">
      <c r="A44" s="12" t="s">
        <v>168</v>
      </c>
    </row>
    <row r="45">
      <c r="A45" s="7" t="s">
        <v>170</v>
      </c>
      <c r="B45" s="7" t="s">
        <v>71</v>
      </c>
      <c r="C45" s="7" t="s">
        <v>171</v>
      </c>
    </row>
    <row r="46">
      <c r="A46" s="2">
        <v>0.0</v>
      </c>
      <c r="B46" s="2" t="s">
        <v>66</v>
      </c>
      <c r="C46" s="2" t="s">
        <v>173</v>
      </c>
    </row>
    <row r="47">
      <c r="A47" s="2">
        <v>1.0</v>
      </c>
      <c r="B47" s="2" t="s">
        <v>174</v>
      </c>
      <c r="C47" s="2" t="s">
        <v>175</v>
      </c>
    </row>
    <row r="48">
      <c r="A48" s="2">
        <v>2.0</v>
      </c>
      <c r="B48" s="2" t="s">
        <v>7</v>
      </c>
      <c r="C48" s="2" t="s">
        <v>176</v>
      </c>
    </row>
    <row r="49">
      <c r="A49" s="2">
        <v>3.0</v>
      </c>
      <c r="B49" s="2" t="s">
        <v>13</v>
      </c>
      <c r="C49" s="2" t="s">
        <v>178</v>
      </c>
    </row>
    <row r="50">
      <c r="A50" s="2">
        <v>4.0</v>
      </c>
      <c r="B50" s="2" t="s">
        <v>179</v>
      </c>
      <c r="C50" s="2" t="s">
        <v>180</v>
      </c>
    </row>
    <row r="51">
      <c r="A51" s="2">
        <v>5.0</v>
      </c>
      <c r="B51" s="2" t="s">
        <v>181</v>
      </c>
      <c r="C51" s="2" t="s">
        <v>182</v>
      </c>
    </row>
    <row r="52">
      <c r="A52" s="2">
        <v>6.0</v>
      </c>
      <c r="B52" s="2" t="s">
        <v>183</v>
      </c>
      <c r="C52" s="2" t="s">
        <v>184</v>
      </c>
    </row>
    <row r="53">
      <c r="A53" s="14">
        <v>7.0</v>
      </c>
      <c r="B53" s="2" t="s">
        <v>25</v>
      </c>
      <c r="C53" s="2" t="s">
        <v>186</v>
      </c>
    </row>
    <row r="55">
      <c r="A55" s="2" t="s">
        <v>187</v>
      </c>
      <c r="B55" s="2" t="s">
        <v>188</v>
      </c>
    </row>
  </sheetData>
  <conditionalFormatting sqref="B5:N17">
    <cfRule type="notContainsBlanks" dxfId="0" priority="1" stopIfTrue="1">
      <formula>LEN(TRIM(B5))&gt;0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4</v>
      </c>
      <c r="B1" s="2" t="s">
        <v>6</v>
      </c>
    </row>
    <row r="2">
      <c r="A2" s="3" t="s">
        <v>15</v>
      </c>
      <c r="B2" s="2" t="s">
        <v>17</v>
      </c>
    </row>
    <row r="3">
      <c r="A3" s="3" t="s">
        <v>22</v>
      </c>
      <c r="B3" s="2" t="s">
        <v>24</v>
      </c>
    </row>
    <row r="4">
      <c r="A4" s="3" t="s">
        <v>28</v>
      </c>
      <c r="B4" s="2" t="s">
        <v>31</v>
      </c>
    </row>
    <row r="5">
      <c r="A5" s="3" t="s">
        <v>33</v>
      </c>
      <c r="B5" s="2" t="s">
        <v>35</v>
      </c>
    </row>
    <row r="6">
      <c r="A6" s="9" t="s">
        <v>37</v>
      </c>
      <c r="B6" s="9" t="s">
        <v>42</v>
      </c>
      <c r="C6" s="9" t="s">
        <v>44</v>
      </c>
      <c r="D6" s="9" t="s">
        <v>45</v>
      </c>
      <c r="E6" s="9" t="s">
        <v>47</v>
      </c>
      <c r="F6" s="9" t="s">
        <v>49</v>
      </c>
      <c r="G6" s="9" t="s">
        <v>52</v>
      </c>
      <c r="H6" s="9" t="s">
        <v>53</v>
      </c>
      <c r="I6" s="9" t="s">
        <v>56</v>
      </c>
      <c r="J6" s="9" t="s">
        <v>58</v>
      </c>
    </row>
    <row r="7">
      <c r="A7" s="11">
        <v>11001.0</v>
      </c>
      <c r="B7" s="2" t="s">
        <v>64</v>
      </c>
      <c r="C7" s="2" t="s">
        <v>66</v>
      </c>
      <c r="D7" s="2" t="s">
        <v>67</v>
      </c>
      <c r="E7" s="2" t="s">
        <v>67</v>
      </c>
      <c r="F7" s="2" t="s">
        <v>67</v>
      </c>
      <c r="G7" s="2" t="s">
        <v>68</v>
      </c>
      <c r="H7" s="11">
        <v>0.0</v>
      </c>
      <c r="I7" s="2" t="s">
        <v>70</v>
      </c>
      <c r="J7" s="2" t="s">
        <v>70</v>
      </c>
    </row>
    <row r="8">
      <c r="A8" s="11">
        <v>11002.0</v>
      </c>
      <c r="B8" s="2" t="s">
        <v>74</v>
      </c>
      <c r="C8" s="2" t="s">
        <v>27</v>
      </c>
      <c r="D8" s="2" t="s">
        <v>67</v>
      </c>
      <c r="E8" s="2" t="s">
        <v>67</v>
      </c>
      <c r="F8" s="2" t="s">
        <v>67</v>
      </c>
      <c r="G8" s="2" t="s">
        <v>78</v>
      </c>
      <c r="H8" s="11">
        <v>1.0</v>
      </c>
      <c r="I8" s="2" t="s">
        <v>70</v>
      </c>
      <c r="J8" s="2" t="s">
        <v>70</v>
      </c>
    </row>
    <row r="9">
      <c r="A9" s="11">
        <v>11003.0</v>
      </c>
      <c r="B9" s="2" t="s">
        <v>83</v>
      </c>
      <c r="C9" s="2" t="s">
        <v>18</v>
      </c>
      <c r="D9" s="2" t="s">
        <v>67</v>
      </c>
      <c r="E9" s="2" t="s">
        <v>67</v>
      </c>
      <c r="F9" s="2" t="s">
        <v>67</v>
      </c>
      <c r="G9" s="2" t="s">
        <v>88</v>
      </c>
      <c r="H9" s="11">
        <v>1.0</v>
      </c>
      <c r="I9" s="2" t="s">
        <v>70</v>
      </c>
      <c r="J9" s="2" t="s">
        <v>70</v>
      </c>
    </row>
    <row r="10">
      <c r="A10" s="11">
        <v>11004.0</v>
      </c>
      <c r="B10" s="2" t="s">
        <v>91</v>
      </c>
      <c r="C10" s="2" t="s">
        <v>7</v>
      </c>
      <c r="D10" s="2" t="s">
        <v>67</v>
      </c>
      <c r="E10" s="2" t="s">
        <v>67</v>
      </c>
      <c r="F10" s="2" t="s">
        <v>27</v>
      </c>
      <c r="G10" s="2" t="s">
        <v>73</v>
      </c>
      <c r="H10" s="11">
        <v>2.0</v>
      </c>
      <c r="I10" s="2" t="s">
        <v>70</v>
      </c>
      <c r="J10" s="2" t="s">
        <v>70</v>
      </c>
    </row>
    <row r="11">
      <c r="A11" s="11">
        <v>11005.0</v>
      </c>
      <c r="B11" s="2" t="s">
        <v>100</v>
      </c>
      <c r="C11" s="2" t="s">
        <v>13</v>
      </c>
      <c r="D11" s="2" t="s">
        <v>7</v>
      </c>
      <c r="E11" s="2" t="s">
        <v>76</v>
      </c>
      <c r="F11" s="2" t="s">
        <v>105</v>
      </c>
      <c r="G11" s="2" t="s">
        <v>89</v>
      </c>
      <c r="H11" s="11">
        <v>3.0</v>
      </c>
      <c r="I11" s="2" t="s">
        <v>70</v>
      </c>
      <c r="J11" s="2" t="s">
        <v>70</v>
      </c>
    </row>
    <row r="12">
      <c r="A12" s="11">
        <v>11006.0</v>
      </c>
      <c r="B12" s="2" t="s">
        <v>113</v>
      </c>
      <c r="C12" s="2" t="s">
        <v>16</v>
      </c>
      <c r="D12" s="2" t="s">
        <v>14</v>
      </c>
      <c r="E12" s="2" t="s">
        <v>94</v>
      </c>
      <c r="F12" s="2" t="s">
        <v>115</v>
      </c>
      <c r="G12" s="2" t="s">
        <v>97</v>
      </c>
      <c r="H12" s="11">
        <v>4.0</v>
      </c>
      <c r="I12" s="2" t="s">
        <v>70</v>
      </c>
      <c r="J12" s="2" t="s">
        <v>70</v>
      </c>
    </row>
    <row r="13">
      <c r="A13" s="11">
        <v>11007.0</v>
      </c>
      <c r="B13" s="2" t="s">
        <v>120</v>
      </c>
      <c r="C13" s="2" t="s">
        <v>14</v>
      </c>
      <c r="D13" s="2" t="s">
        <v>67</v>
      </c>
      <c r="E13" s="2" t="s">
        <v>67</v>
      </c>
      <c r="F13" s="2" t="s">
        <v>123</v>
      </c>
      <c r="G13" s="2" t="s">
        <v>93</v>
      </c>
      <c r="H13" s="11">
        <v>4.0</v>
      </c>
      <c r="I13" s="2" t="s">
        <v>70</v>
      </c>
      <c r="J13" s="2" t="s">
        <v>70</v>
      </c>
    </row>
    <row r="14">
      <c r="A14" s="11">
        <v>11008.0</v>
      </c>
      <c r="B14" s="2" t="s">
        <v>126</v>
      </c>
      <c r="C14" s="2" t="s">
        <v>8</v>
      </c>
      <c r="D14" s="2" t="s">
        <v>7</v>
      </c>
      <c r="E14" s="2" t="s">
        <v>50</v>
      </c>
      <c r="F14" s="2" t="s">
        <v>14</v>
      </c>
      <c r="G14" s="2" t="s">
        <v>77</v>
      </c>
      <c r="H14" s="11">
        <v>5.0</v>
      </c>
      <c r="I14" s="2" t="s">
        <v>70</v>
      </c>
      <c r="J14" s="2" t="s">
        <v>70</v>
      </c>
    </row>
    <row r="15">
      <c r="A15" s="11">
        <v>11009.0</v>
      </c>
      <c r="B15" s="2" t="s">
        <v>133</v>
      </c>
      <c r="C15" s="2" t="s">
        <v>10</v>
      </c>
      <c r="D15" s="2" t="s">
        <v>7</v>
      </c>
      <c r="E15" s="2" t="s">
        <v>50</v>
      </c>
      <c r="F15" s="2" t="s">
        <v>13</v>
      </c>
      <c r="G15" s="2" t="s">
        <v>82</v>
      </c>
      <c r="H15" s="11">
        <v>5.0</v>
      </c>
      <c r="I15" s="2" t="s">
        <v>70</v>
      </c>
      <c r="J15" s="2" t="s">
        <v>70</v>
      </c>
    </row>
    <row r="16">
      <c r="A16" s="11">
        <v>11010.0</v>
      </c>
      <c r="B16" s="2" t="s">
        <v>139</v>
      </c>
      <c r="C16" s="2" t="s">
        <v>11</v>
      </c>
      <c r="D16" s="2" t="s">
        <v>7</v>
      </c>
      <c r="E16" s="2" t="s">
        <v>50</v>
      </c>
      <c r="F16" s="2" t="s">
        <v>13</v>
      </c>
      <c r="G16" s="2" t="s">
        <v>85</v>
      </c>
      <c r="H16" s="11">
        <v>5.0</v>
      </c>
      <c r="I16" s="2" t="s">
        <v>70</v>
      </c>
      <c r="J16" s="2" t="s">
        <v>70</v>
      </c>
    </row>
    <row r="17">
      <c r="A17" s="11">
        <v>11011.0</v>
      </c>
      <c r="B17" s="2" t="s">
        <v>142</v>
      </c>
      <c r="C17" s="2" t="s">
        <v>23</v>
      </c>
      <c r="D17" s="2" t="s">
        <v>67</v>
      </c>
      <c r="E17" s="2" t="s">
        <v>67</v>
      </c>
      <c r="F17" s="2" t="s">
        <v>143</v>
      </c>
      <c r="G17" s="2" t="s">
        <v>103</v>
      </c>
      <c r="H17" s="11">
        <v>6.0</v>
      </c>
      <c r="I17" s="2" t="s">
        <v>70</v>
      </c>
      <c r="J17" s="2" t="s">
        <v>70</v>
      </c>
    </row>
    <row r="18">
      <c r="A18" s="11">
        <v>11012.0</v>
      </c>
      <c r="B18" s="2" t="s">
        <v>145</v>
      </c>
      <c r="C18" s="2" t="s">
        <v>25</v>
      </c>
      <c r="D18" s="2" t="s">
        <v>23</v>
      </c>
      <c r="E18" s="2" t="s">
        <v>124</v>
      </c>
      <c r="F18" s="2" t="s">
        <v>67</v>
      </c>
      <c r="G18" s="2" t="s">
        <v>109</v>
      </c>
      <c r="H18" s="11">
        <v>7.0</v>
      </c>
      <c r="I18" s="2" t="s">
        <v>70</v>
      </c>
      <c r="J18" s="2" t="s">
        <v>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88"/>
    <col customWidth="1" min="2" max="2" width="12.75"/>
    <col customWidth="1" min="3" max="3" width="7.0"/>
    <col customWidth="1" min="4" max="4" width="3.88"/>
    <col customWidth="1" min="5" max="5" width="3.63"/>
    <col customWidth="1" min="6" max="6" width="4.0"/>
    <col customWidth="1" min="7" max="7" width="4.63"/>
    <col customWidth="1" min="8" max="8" width="5.63"/>
    <col customWidth="1" min="9" max="9" width="4.63"/>
    <col customWidth="1" min="10" max="10" width="6.88"/>
    <col customWidth="1" min="11" max="11" width="5.0"/>
    <col customWidth="1" min="12" max="12" width="9.5"/>
    <col customWidth="1" min="13" max="13" width="19.38"/>
  </cols>
  <sheetData>
    <row r="1">
      <c r="A1" s="5" t="s">
        <v>4</v>
      </c>
      <c r="B1" s="5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5" t="s">
        <v>15</v>
      </c>
      <c r="B2" s="5" t="s">
        <v>39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5" t="s">
        <v>22</v>
      </c>
      <c r="B3" s="5" t="s">
        <v>54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5" t="s">
        <v>28</v>
      </c>
      <c r="B4" s="5" t="s">
        <v>72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9" t="s">
        <v>37</v>
      </c>
      <c r="B6" s="9" t="s">
        <v>42</v>
      </c>
      <c r="C6" s="9" t="s">
        <v>46</v>
      </c>
      <c r="D6" s="9" t="s">
        <v>96</v>
      </c>
      <c r="E6" s="9" t="s">
        <v>41</v>
      </c>
      <c r="F6" s="9" t="s">
        <v>98</v>
      </c>
      <c r="G6" s="9" t="s">
        <v>101</v>
      </c>
      <c r="H6" s="9" t="s">
        <v>102</v>
      </c>
      <c r="I6" s="9" t="s">
        <v>104</v>
      </c>
      <c r="J6" s="9" t="s">
        <v>106</v>
      </c>
      <c r="K6" s="9" t="s">
        <v>108</v>
      </c>
      <c r="L6" s="9" t="s">
        <v>110</v>
      </c>
      <c r="M6" s="9" t="s">
        <v>111</v>
      </c>
      <c r="N6" s="9" t="s">
        <v>58</v>
      </c>
      <c r="O6" s="9" t="s">
        <v>114</v>
      </c>
    </row>
    <row r="7">
      <c r="A7" s="11">
        <v>1001.0</v>
      </c>
      <c r="B7" s="2" t="s">
        <v>117</v>
      </c>
      <c r="C7" s="11">
        <v>30001.0</v>
      </c>
      <c r="D7" s="2" t="s">
        <v>8</v>
      </c>
      <c r="F7" s="11">
        <v>100.0</v>
      </c>
      <c r="G7" s="11">
        <v>10.0</v>
      </c>
      <c r="H7" s="11">
        <v>0.0</v>
      </c>
      <c r="I7" s="11">
        <v>500.0</v>
      </c>
      <c r="J7" s="11">
        <v>1000.0</v>
      </c>
      <c r="K7" s="11">
        <v>15000.0</v>
      </c>
      <c r="L7" s="11">
        <v>0.0</v>
      </c>
      <c r="M7" s="11">
        <v>600.0</v>
      </c>
      <c r="N7" s="2" t="s">
        <v>70</v>
      </c>
      <c r="O7" s="2" t="s">
        <v>127</v>
      </c>
    </row>
    <row r="8">
      <c r="A8" s="11">
        <v>1002.0</v>
      </c>
      <c r="B8" s="2" t="s">
        <v>130</v>
      </c>
      <c r="C8" s="11">
        <v>30002.0</v>
      </c>
      <c r="D8" s="2" t="s">
        <v>10</v>
      </c>
      <c r="E8" s="11">
        <v>1.0</v>
      </c>
      <c r="F8" s="13">
        <f>VLOOKUP($E8,StatCurve!$A$10:$F$14,2,FALSE)</f>
        <v>35</v>
      </c>
      <c r="G8" s="13">
        <f>VLOOKUP($E8,StatCurve!$A$10:$F$14,3,FALSE)</f>
        <v>20</v>
      </c>
      <c r="H8" s="13">
        <f>VLOOKUP($E8,StatCurve!$A$10:$F$14,4,FALSE)</f>
        <v>0</v>
      </c>
      <c r="I8" s="13">
        <f>VLOOKUP($E8,StatCurve!$A$10:$F$14,5,FALSE)</f>
        <v>300</v>
      </c>
      <c r="J8" s="11">
        <v>0.0</v>
      </c>
      <c r="K8" s="11">
        <v>15000.0</v>
      </c>
      <c r="L8" s="13">
        <f>VLOOKUP($E8,StatCurve!$A$10:$F$14,6,FALSE)</f>
        <v>40</v>
      </c>
      <c r="M8" s="11">
        <v>300.0</v>
      </c>
      <c r="N8" s="2" t="s">
        <v>70</v>
      </c>
      <c r="O8" s="2" t="s">
        <v>167</v>
      </c>
    </row>
    <row r="9">
      <c r="A9" s="11">
        <v>1003.0</v>
      </c>
      <c r="B9" s="2" t="s">
        <v>169</v>
      </c>
      <c r="C9" s="11">
        <v>30003.0</v>
      </c>
      <c r="D9" s="2" t="s">
        <v>10</v>
      </c>
      <c r="E9" s="11">
        <v>2.0</v>
      </c>
      <c r="F9" s="13">
        <f>VLOOKUP($E9,StatCurve!$A$10:$F$14,2,FALSE)</f>
        <v>50</v>
      </c>
      <c r="G9" s="13">
        <f>VLOOKUP($E9,StatCurve!$A$10:$F$14,3,FALSE)</f>
        <v>26</v>
      </c>
      <c r="H9" s="13">
        <f>VLOOKUP($E9,StatCurve!$A$10:$F$14,4,FALSE)</f>
        <v>500</v>
      </c>
      <c r="I9" s="13">
        <f>VLOOKUP($E9,StatCurve!$A$10:$F$14,5,FALSE)</f>
        <v>400</v>
      </c>
      <c r="J9" s="11">
        <v>0.0</v>
      </c>
      <c r="K9" s="11">
        <v>15000.0</v>
      </c>
      <c r="L9" s="13">
        <f>VLOOKUP($E9,StatCurve!$A$10:$F$14,6,FALSE)</f>
        <v>50</v>
      </c>
      <c r="M9" s="11">
        <v>250.0</v>
      </c>
      <c r="N9" s="2" t="s">
        <v>70</v>
      </c>
      <c r="O9" s="2" t="s">
        <v>167</v>
      </c>
    </row>
    <row r="10">
      <c r="A10" s="11">
        <v>1004.0</v>
      </c>
      <c r="B10" s="2" t="s">
        <v>208</v>
      </c>
      <c r="C10" s="11">
        <v>30004.0</v>
      </c>
      <c r="D10" s="2" t="s">
        <v>10</v>
      </c>
      <c r="E10" s="11">
        <v>3.0</v>
      </c>
      <c r="F10" s="13">
        <f>VLOOKUP($E10,StatCurve!$A$10:$F$14,2,FALSE)</f>
        <v>65</v>
      </c>
      <c r="G10" s="13">
        <f>VLOOKUP($E10,StatCurve!$A$10:$F$14,3,FALSE)</f>
        <v>32</v>
      </c>
      <c r="H10" s="13">
        <f>VLOOKUP($E10,StatCurve!$A$10:$F$14,4,FALSE)</f>
        <v>1000</v>
      </c>
      <c r="I10" s="13">
        <f>VLOOKUP($E10,StatCurve!$A$10:$F$14,5,FALSE)</f>
        <v>500</v>
      </c>
      <c r="J10" s="11">
        <v>0.0</v>
      </c>
      <c r="K10" s="11">
        <v>15000.0</v>
      </c>
      <c r="L10" s="13">
        <f>VLOOKUP($E10,StatCurve!$A$10:$F$14,6,FALSE)</f>
        <v>60</v>
      </c>
      <c r="M10" s="11">
        <v>300.0</v>
      </c>
      <c r="N10" s="2" t="s">
        <v>70</v>
      </c>
      <c r="O10" s="2" t="s">
        <v>231</v>
      </c>
    </row>
    <row r="11">
      <c r="A11" s="11">
        <v>1005.0</v>
      </c>
      <c r="B11" s="2" t="s">
        <v>233</v>
      </c>
      <c r="C11" s="11">
        <v>30005.0</v>
      </c>
      <c r="D11" s="2" t="s">
        <v>10</v>
      </c>
      <c r="E11" s="11">
        <v>3.0</v>
      </c>
      <c r="F11" s="13">
        <f>VLOOKUP($E11,StatCurve!$A$10:$F$14,2,FALSE)</f>
        <v>65</v>
      </c>
      <c r="G11" s="13">
        <f>VLOOKUP($E11,StatCurve!$A$10:$F$14,3,FALSE)</f>
        <v>32</v>
      </c>
      <c r="H11" s="13">
        <f>VLOOKUP($E11,StatCurve!$A$10:$F$14,4,FALSE)</f>
        <v>1000</v>
      </c>
      <c r="I11" s="13">
        <f>VLOOKUP($E11,StatCurve!$A$10:$F$14,5,FALSE)</f>
        <v>500</v>
      </c>
      <c r="J11" s="11">
        <v>0.0</v>
      </c>
      <c r="K11" s="11">
        <v>15000.0</v>
      </c>
      <c r="L11" s="13">
        <f>VLOOKUP($E11,StatCurve!$A$10:$F$14,6,FALSE)</f>
        <v>60</v>
      </c>
      <c r="M11" s="11">
        <v>250.0</v>
      </c>
      <c r="N11" s="2" t="s">
        <v>70</v>
      </c>
      <c r="O11" s="2" t="s">
        <v>231</v>
      </c>
    </row>
    <row r="12">
      <c r="A12" s="11">
        <v>1006.0</v>
      </c>
      <c r="B12" s="2" t="s">
        <v>237</v>
      </c>
      <c r="C12" s="11">
        <v>30006.0</v>
      </c>
      <c r="D12" s="2" t="s">
        <v>11</v>
      </c>
      <c r="F12" s="11">
        <v>420.0</v>
      </c>
      <c r="G12" s="11">
        <v>28.0</v>
      </c>
      <c r="H12" s="11">
        <v>1000.0</v>
      </c>
      <c r="I12" s="11">
        <v>300.0</v>
      </c>
      <c r="J12" s="11">
        <v>500.0</v>
      </c>
      <c r="K12" s="11">
        <v>15000.0</v>
      </c>
      <c r="L12" s="11">
        <v>120.0</v>
      </c>
      <c r="M12" s="11">
        <v>200.0</v>
      </c>
      <c r="N12" s="2" t="s">
        <v>70</v>
      </c>
      <c r="O12" s="2" t="s">
        <v>238</v>
      </c>
    </row>
    <row r="15">
      <c r="A15" s="3"/>
      <c r="B15" s="15"/>
      <c r="C15" s="15"/>
      <c r="D15" s="15"/>
      <c r="E15" s="15"/>
      <c r="F15" s="15"/>
      <c r="G15" s="15"/>
      <c r="H15" s="15"/>
      <c r="I15" s="15"/>
    </row>
    <row r="16">
      <c r="A16" s="3" t="s">
        <v>239</v>
      </c>
      <c r="B16" s="3"/>
      <c r="C16" s="3"/>
      <c r="D16" s="3"/>
      <c r="E16" s="3"/>
      <c r="F16" s="3"/>
      <c r="G16" s="3"/>
      <c r="H16" s="3"/>
      <c r="I16" s="3"/>
    </row>
    <row r="17">
      <c r="A17" s="2" t="s">
        <v>100</v>
      </c>
      <c r="B17" s="2" t="s">
        <v>240</v>
      </c>
      <c r="C17" s="2" t="s">
        <v>241</v>
      </c>
      <c r="D17" s="2" t="s">
        <v>242</v>
      </c>
      <c r="E17" s="2" t="s">
        <v>243</v>
      </c>
      <c r="F17" s="2" t="s">
        <v>244</v>
      </c>
      <c r="G17" s="2" t="s">
        <v>245</v>
      </c>
      <c r="H17" s="2" t="s">
        <v>246</v>
      </c>
      <c r="I17" s="2" t="s">
        <v>247</v>
      </c>
    </row>
    <row r="18">
      <c r="A18" s="2" t="s">
        <v>248</v>
      </c>
      <c r="B18" s="13">
        <f>G7</f>
        <v>10</v>
      </c>
      <c r="C18" s="11">
        <v>10000.0</v>
      </c>
      <c r="D18" s="11">
        <v>10000.0</v>
      </c>
      <c r="E18" s="13">
        <f>H9</f>
        <v>500</v>
      </c>
      <c r="F18" s="13">
        <f t="shared" ref="F18:F20" si="1">MAX(1,INT(B18*C18*D18*(10000-E18)/10^12))</f>
        <v>9</v>
      </c>
      <c r="G18" s="13">
        <f>F9</f>
        <v>50</v>
      </c>
      <c r="H18" s="13">
        <f t="shared" ref="H18:H20" si="2">ROUNDUP(G18/F18,0)</f>
        <v>6</v>
      </c>
      <c r="I18" s="2" t="s">
        <v>249</v>
      </c>
    </row>
    <row r="19">
      <c r="A19" s="2" t="s">
        <v>250</v>
      </c>
      <c r="B19" s="13">
        <f>G7</f>
        <v>10</v>
      </c>
      <c r="C19" s="11">
        <v>18000.0</v>
      </c>
      <c r="D19" s="13">
        <f>K7</f>
        <v>15000</v>
      </c>
      <c r="E19" s="13">
        <f>H12</f>
        <v>1000</v>
      </c>
      <c r="F19" s="13">
        <f t="shared" si="1"/>
        <v>24</v>
      </c>
      <c r="G19" s="13">
        <f>F12</f>
        <v>420</v>
      </c>
      <c r="H19" s="13">
        <f t="shared" si="2"/>
        <v>18</v>
      </c>
      <c r="I19" s="2" t="s">
        <v>251</v>
      </c>
    </row>
    <row r="20">
      <c r="A20" s="2" t="s">
        <v>252</v>
      </c>
      <c r="B20" s="13">
        <f>G9</f>
        <v>26</v>
      </c>
      <c r="C20" s="11">
        <v>12000.0</v>
      </c>
      <c r="D20" s="11">
        <v>10000.0</v>
      </c>
      <c r="E20" s="13">
        <f>H7</f>
        <v>0</v>
      </c>
      <c r="F20" s="13">
        <f t="shared" si="1"/>
        <v>31</v>
      </c>
      <c r="G20" s="13">
        <f>F7</f>
        <v>100</v>
      </c>
      <c r="H20" s="13">
        <f t="shared" si="2"/>
        <v>4</v>
      </c>
      <c r="I20" s="2" t="s">
        <v>253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0.25"/>
    <col customWidth="1" min="2" max="2" width="6.25"/>
    <col customWidth="1" min="3" max="3" width="10.13"/>
    <col customWidth="1" min="4" max="4" width="11.63"/>
    <col customWidth="1" min="5" max="5" width="15.63"/>
    <col customWidth="1" min="6" max="6" width="10.13"/>
    <col customWidth="1" min="7" max="7" width="7.5"/>
    <col customWidth="1" min="8" max="8" width="8.88"/>
    <col customWidth="1" min="9" max="9" width="9.75"/>
    <col customWidth="1" min="10" max="10" width="9.88"/>
    <col customWidth="1" min="11" max="11" width="10.13"/>
    <col customWidth="1" min="12" max="12" width="8.13"/>
    <col customWidth="1" min="13" max="13" width="7.75"/>
    <col customWidth="1" min="14" max="14" width="8.88"/>
    <col customWidth="1" min="15" max="15" width="11.0"/>
    <col customWidth="1" min="16" max="16" width="8.25"/>
    <col customWidth="1" min="17" max="17" width="10.38"/>
    <col customWidth="1" min="18" max="18" width="12.75"/>
    <col customWidth="1" min="19" max="19" width="12.0"/>
    <col customWidth="1" min="20" max="20" width="8.25"/>
    <col customWidth="1" min="21" max="21" width="9.25"/>
  </cols>
  <sheetData>
    <row r="1">
      <c r="A1" s="5" t="s">
        <v>4</v>
      </c>
      <c r="B1" s="5" t="s">
        <v>165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"/>
      <c r="T1" s="3"/>
      <c r="U1" s="3"/>
      <c r="V1" s="3"/>
    </row>
    <row r="2">
      <c r="A2" s="5" t="s">
        <v>15</v>
      </c>
      <c r="B2" s="5" t="s">
        <v>172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"/>
      <c r="T2" s="3"/>
      <c r="U2" s="3"/>
      <c r="V2" s="3"/>
    </row>
    <row r="3">
      <c r="A3" s="5" t="s">
        <v>22</v>
      </c>
      <c r="B3" s="5" t="s">
        <v>177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/>
      <c r="T3" s="3"/>
      <c r="U3" s="3"/>
      <c r="V3" s="3"/>
    </row>
    <row r="4">
      <c r="A4" s="5" t="s">
        <v>28</v>
      </c>
      <c r="B4" s="5" t="s">
        <v>185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"/>
      <c r="T4" s="3"/>
      <c r="U4" s="3"/>
      <c r="V4" s="3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3"/>
      <c r="T5" s="3"/>
      <c r="U5" s="3"/>
      <c r="V5" s="3"/>
    </row>
    <row r="6">
      <c r="A6" s="9" t="s">
        <v>37</v>
      </c>
      <c r="B6" s="9" t="s">
        <v>42</v>
      </c>
      <c r="C6" s="9" t="s">
        <v>50</v>
      </c>
      <c r="D6" s="9" t="s">
        <v>189</v>
      </c>
      <c r="E6" s="9" t="s">
        <v>190</v>
      </c>
      <c r="F6" s="9" t="s">
        <v>191</v>
      </c>
      <c r="G6" s="9" t="s">
        <v>192</v>
      </c>
      <c r="H6" s="9" t="s">
        <v>193</v>
      </c>
      <c r="I6" s="9" t="s">
        <v>194</v>
      </c>
      <c r="J6" s="9" t="s">
        <v>195</v>
      </c>
      <c r="K6" s="9" t="s">
        <v>196</v>
      </c>
      <c r="L6" s="9" t="s">
        <v>197</v>
      </c>
      <c r="M6" s="9" t="s">
        <v>198</v>
      </c>
      <c r="N6" s="9" t="s">
        <v>199</v>
      </c>
      <c r="O6" s="9" t="s">
        <v>200</v>
      </c>
      <c r="P6" s="9" t="s">
        <v>201</v>
      </c>
      <c r="Q6" s="9" t="s">
        <v>202</v>
      </c>
      <c r="R6" s="9" t="s">
        <v>55</v>
      </c>
      <c r="S6" s="9" t="s">
        <v>203</v>
      </c>
      <c r="T6" s="9" t="s">
        <v>204</v>
      </c>
      <c r="U6" s="9" t="s">
        <v>205</v>
      </c>
      <c r="V6" s="9" t="s">
        <v>206</v>
      </c>
      <c r="W6" s="9" t="s">
        <v>58</v>
      </c>
      <c r="X6" s="9" t="s">
        <v>114</v>
      </c>
    </row>
    <row r="7">
      <c r="A7" s="11">
        <v>2001.0</v>
      </c>
      <c r="B7" s="2" t="s">
        <v>207</v>
      </c>
      <c r="C7" s="11">
        <v>1001.0</v>
      </c>
      <c r="D7" s="11">
        <v>100.0</v>
      </c>
      <c r="E7" s="11">
        <v>45.0</v>
      </c>
      <c r="F7" s="11">
        <v>500.0</v>
      </c>
      <c r="G7" s="11">
        <v>300.0</v>
      </c>
      <c r="H7" s="11">
        <v>500.0</v>
      </c>
      <c r="I7" s="11">
        <v>300.0</v>
      </c>
      <c r="J7" s="11">
        <v>20.0</v>
      </c>
      <c r="K7" s="11">
        <v>300.0</v>
      </c>
      <c r="L7" s="11">
        <v>300.0</v>
      </c>
      <c r="M7" s="11">
        <v>600.0</v>
      </c>
      <c r="N7" s="11">
        <v>40.0</v>
      </c>
      <c r="O7" s="11">
        <v>3.0</v>
      </c>
      <c r="P7" s="11">
        <v>800.0</v>
      </c>
      <c r="Q7" s="2" t="s">
        <v>70</v>
      </c>
      <c r="R7" s="11">
        <v>6001.0</v>
      </c>
      <c r="S7" s="11">
        <v>500.0</v>
      </c>
      <c r="T7" s="11">
        <v>500.0</v>
      </c>
      <c r="U7" s="11">
        <v>200.0</v>
      </c>
      <c r="V7" s="11">
        <v>150.0</v>
      </c>
      <c r="W7" s="2" t="s">
        <v>70</v>
      </c>
      <c r="X7" s="2" t="s">
        <v>209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8.63"/>
    <col customWidth="1" min="2" max="2" width="8.13"/>
    <col customWidth="1" min="3" max="3" width="8.25"/>
    <col customWidth="1" min="4" max="4" width="9.38"/>
    <col customWidth="1" min="5" max="5" width="10.38"/>
    <col customWidth="1" min="6" max="6" width="6.38"/>
    <col customWidth="1" min="7" max="7" width="6.75"/>
    <col customWidth="1" min="8" max="8" width="37.13"/>
    <col customWidth="1" min="9" max="9" width="13.75"/>
    <col customWidth="1" min="10" max="10" width="9.63"/>
    <col customWidth="1" min="11" max="11" width="10.0"/>
    <col customWidth="1" min="12" max="12" width="10.25"/>
    <col customWidth="1" min="13" max="13" width="9.88"/>
    <col customWidth="1" min="14" max="14" width="21.13"/>
  </cols>
  <sheetData>
    <row r="1">
      <c r="A1" s="5" t="s">
        <v>4</v>
      </c>
      <c r="B1" s="5" t="s">
        <v>210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 t="s">
        <v>15</v>
      </c>
      <c r="B2" s="5" t="s">
        <v>211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5" t="s">
        <v>22</v>
      </c>
      <c r="B3" s="5" t="s">
        <v>212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5" t="s">
        <v>28</v>
      </c>
      <c r="B4" s="5" t="s">
        <v>213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9" t="s">
        <v>37</v>
      </c>
      <c r="B6" s="9" t="s">
        <v>42</v>
      </c>
      <c r="C6" s="9" t="s">
        <v>50</v>
      </c>
      <c r="D6" s="9" t="s">
        <v>214</v>
      </c>
      <c r="E6" s="9" t="s">
        <v>215</v>
      </c>
      <c r="F6" s="9" t="s">
        <v>216</v>
      </c>
      <c r="G6" s="9" t="s">
        <v>217</v>
      </c>
      <c r="H6" s="9" t="s">
        <v>218</v>
      </c>
      <c r="I6" s="9" t="s">
        <v>62</v>
      </c>
      <c r="J6" s="9" t="s">
        <v>219</v>
      </c>
      <c r="K6" s="9" t="s">
        <v>220</v>
      </c>
      <c r="L6" s="9" t="s">
        <v>221</v>
      </c>
      <c r="M6" s="9" t="s">
        <v>222</v>
      </c>
      <c r="N6" s="9" t="s">
        <v>223</v>
      </c>
      <c r="O6" s="9" t="s">
        <v>58</v>
      </c>
      <c r="P6" s="9" t="s">
        <v>114</v>
      </c>
    </row>
    <row r="7">
      <c r="A7" s="11">
        <v>3001.0</v>
      </c>
      <c r="B7" s="2" t="s">
        <v>130</v>
      </c>
      <c r="C7" s="11">
        <v>1002.0</v>
      </c>
      <c r="D7" s="2" t="s">
        <v>224</v>
      </c>
      <c r="E7" s="11">
        <v>800.0</v>
      </c>
      <c r="F7" s="11">
        <v>150.0</v>
      </c>
      <c r="G7" s="11">
        <v>1000.0</v>
      </c>
      <c r="H7" s="11">
        <v>1500.0</v>
      </c>
      <c r="I7" s="2" t="s">
        <v>156</v>
      </c>
      <c r="J7" s="11">
        <v>2000.0</v>
      </c>
      <c r="K7" s="11">
        <v>10.0</v>
      </c>
      <c r="L7" s="11">
        <v>1500.0</v>
      </c>
      <c r="M7" s="2" t="s">
        <v>225</v>
      </c>
      <c r="N7" s="2" t="s">
        <v>226</v>
      </c>
      <c r="O7" s="2" t="s">
        <v>70</v>
      </c>
      <c r="P7" s="2" t="s">
        <v>227</v>
      </c>
    </row>
    <row r="8">
      <c r="A8" s="11">
        <v>3002.0</v>
      </c>
      <c r="B8" s="2" t="s">
        <v>169</v>
      </c>
      <c r="C8" s="11">
        <v>1003.0</v>
      </c>
      <c r="D8" s="2" t="s">
        <v>228</v>
      </c>
      <c r="E8" s="11">
        <v>800.0</v>
      </c>
      <c r="F8" s="11">
        <v>600.0</v>
      </c>
      <c r="G8" s="11">
        <v>1000.0</v>
      </c>
      <c r="H8" s="11">
        <v>1500.0</v>
      </c>
      <c r="I8" s="2" t="s">
        <v>229</v>
      </c>
      <c r="J8" s="11">
        <v>2000.0</v>
      </c>
      <c r="K8" s="11">
        <v>10.0</v>
      </c>
      <c r="L8" s="11">
        <v>1500.0</v>
      </c>
      <c r="M8" s="2" t="s">
        <v>225</v>
      </c>
      <c r="N8" s="2" t="s">
        <v>70</v>
      </c>
      <c r="O8" s="2" t="s">
        <v>70</v>
      </c>
      <c r="P8" s="2" t="s">
        <v>230</v>
      </c>
    </row>
    <row r="9">
      <c r="A9" s="11">
        <v>3003.0</v>
      </c>
      <c r="B9" s="2" t="s">
        <v>208</v>
      </c>
      <c r="C9" s="11">
        <v>1004.0</v>
      </c>
      <c r="D9" s="2" t="s">
        <v>224</v>
      </c>
      <c r="E9" s="11">
        <v>800.0</v>
      </c>
      <c r="F9" s="11">
        <v>150.0</v>
      </c>
      <c r="G9" s="11">
        <v>1000.0</v>
      </c>
      <c r="H9" s="11">
        <v>1500.0</v>
      </c>
      <c r="I9" s="2" t="s">
        <v>232</v>
      </c>
      <c r="J9" s="11">
        <v>2000.0</v>
      </c>
      <c r="K9" s="11">
        <v>10.0</v>
      </c>
      <c r="L9" s="11">
        <v>1500.0</v>
      </c>
      <c r="M9" s="2" t="s">
        <v>225</v>
      </c>
      <c r="N9" s="2" t="s">
        <v>226</v>
      </c>
      <c r="O9" s="2" t="s">
        <v>70</v>
      </c>
      <c r="P9" s="2" t="s">
        <v>234</v>
      </c>
    </row>
    <row r="10">
      <c r="A10" s="11">
        <v>3004.0</v>
      </c>
      <c r="B10" s="2" t="s">
        <v>233</v>
      </c>
      <c r="C10" s="11">
        <v>1005.0</v>
      </c>
      <c r="D10" s="2" t="s">
        <v>228</v>
      </c>
      <c r="E10" s="11">
        <v>800.0</v>
      </c>
      <c r="F10" s="11">
        <v>600.0</v>
      </c>
      <c r="G10" s="11">
        <v>1000.0</v>
      </c>
      <c r="H10" s="11">
        <v>1500.0</v>
      </c>
      <c r="I10" s="2" t="s">
        <v>235</v>
      </c>
      <c r="J10" s="11">
        <v>2000.0</v>
      </c>
      <c r="K10" s="11">
        <v>10.0</v>
      </c>
      <c r="L10" s="11">
        <v>1500.0</v>
      </c>
      <c r="M10" s="2" t="s">
        <v>225</v>
      </c>
      <c r="N10" s="2" t="s">
        <v>70</v>
      </c>
      <c r="O10" s="2" t="s">
        <v>70</v>
      </c>
      <c r="P10" s="2" t="s">
        <v>236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3" width="8.5"/>
    <col customWidth="1" min="4" max="4" width="5.5"/>
    <col customWidth="1" min="5" max="5" width="10.5"/>
    <col customWidth="1" min="6" max="6" width="35.5"/>
    <col customWidth="1" min="7" max="7" width="7.38"/>
    <col customWidth="1" min="8" max="8" width="13.75"/>
    <col customWidth="1" min="9" max="9" width="9.63"/>
    <col customWidth="1" min="10" max="10" width="10.0"/>
    <col customWidth="1" min="11" max="11" width="12.75"/>
    <col customWidth="1" min="12" max="12" width="36.63"/>
  </cols>
  <sheetData>
    <row r="1">
      <c r="A1" s="5" t="s">
        <v>4</v>
      </c>
      <c r="B1" s="5" t="s">
        <v>254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5" t="s">
        <v>15</v>
      </c>
      <c r="B2" s="5" t="s">
        <v>255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5" t="s">
        <v>22</v>
      </c>
      <c r="B3" s="5" t="s">
        <v>256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 t="s">
        <v>28</v>
      </c>
      <c r="B4" s="5" t="s">
        <v>257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>
      <c r="A6" s="9" t="s">
        <v>37</v>
      </c>
      <c r="B6" s="9" t="s">
        <v>42</v>
      </c>
      <c r="C6" s="9" t="s">
        <v>50</v>
      </c>
      <c r="D6" s="9" t="s">
        <v>258</v>
      </c>
      <c r="E6" s="9" t="s">
        <v>259</v>
      </c>
      <c r="F6" s="9" t="s">
        <v>62</v>
      </c>
      <c r="G6" s="9" t="s">
        <v>260</v>
      </c>
      <c r="H6" s="9" t="s">
        <v>219</v>
      </c>
      <c r="I6" s="9" t="s">
        <v>220</v>
      </c>
      <c r="J6" s="9" t="s">
        <v>221</v>
      </c>
      <c r="K6" s="9" t="s">
        <v>261</v>
      </c>
      <c r="L6" s="9" t="s">
        <v>58</v>
      </c>
      <c r="M6" s="9" t="s">
        <v>114</v>
      </c>
    </row>
    <row r="7">
      <c r="A7" s="11">
        <v>4001.0</v>
      </c>
      <c r="B7" s="2" t="s">
        <v>262</v>
      </c>
      <c r="C7" s="11">
        <v>1006.0</v>
      </c>
      <c r="D7" s="11">
        <v>1.0</v>
      </c>
      <c r="E7" s="11">
        <v>10000.0</v>
      </c>
      <c r="F7" s="2" t="s">
        <v>157</v>
      </c>
      <c r="G7" s="11">
        <v>1500.0</v>
      </c>
      <c r="H7" s="11">
        <v>2000.0</v>
      </c>
      <c r="I7" s="11">
        <v>15.0</v>
      </c>
      <c r="J7" s="11">
        <v>2000.0</v>
      </c>
      <c r="K7" s="11">
        <v>1800.0</v>
      </c>
      <c r="L7" s="2" t="s">
        <v>70</v>
      </c>
      <c r="M7" s="2" t="s">
        <v>263</v>
      </c>
    </row>
    <row r="8">
      <c r="A8" s="11">
        <v>4002.0</v>
      </c>
      <c r="B8" s="2" t="s">
        <v>264</v>
      </c>
      <c r="C8" s="11">
        <v>1006.0</v>
      </c>
      <c r="D8" s="11">
        <v>2.0</v>
      </c>
      <c r="E8" s="11">
        <v>5000.0</v>
      </c>
      <c r="F8" s="2" t="s">
        <v>265</v>
      </c>
      <c r="G8" s="11">
        <v>1000.0</v>
      </c>
      <c r="H8" s="11">
        <v>2000.0</v>
      </c>
      <c r="I8" s="11">
        <v>15.0</v>
      </c>
      <c r="J8" s="11">
        <v>2000.0</v>
      </c>
      <c r="K8" s="11">
        <v>1800.0</v>
      </c>
      <c r="L8" s="2" t="s">
        <v>70</v>
      </c>
      <c r="M8" s="2" t="s">
        <v>266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38"/>
    <col customWidth="1" min="2" max="2" width="8.5"/>
    <col customWidth="1" min="3" max="3" width="15.75"/>
    <col customWidth="1" min="4" max="4" width="6.63"/>
    <col customWidth="1" min="5" max="5" width="10.25"/>
    <col customWidth="1" min="6" max="6" width="11.0"/>
    <col customWidth="1" min="7" max="7" width="6.38"/>
    <col customWidth="1" min="8" max="8" width="5.5"/>
    <col customWidth="1" min="9" max="9" width="7.75"/>
    <col customWidth="1" min="10" max="10" width="12.0"/>
    <col customWidth="1" min="11" max="11" width="7.0"/>
    <col customWidth="1" min="12" max="12" width="8.75"/>
    <col customWidth="1" min="13" max="13" width="6.38"/>
    <col customWidth="1" min="14" max="14" width="24.88"/>
  </cols>
  <sheetData>
    <row r="1">
      <c r="A1" s="5" t="s">
        <v>4</v>
      </c>
      <c r="B1" s="5" t="s">
        <v>269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 t="s">
        <v>15</v>
      </c>
      <c r="B2" s="5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5" t="s">
        <v>22</v>
      </c>
      <c r="B3" s="5" t="s">
        <v>273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5" t="s">
        <v>28</v>
      </c>
      <c r="B4" s="5" t="s">
        <v>280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9" t="s">
        <v>37</v>
      </c>
      <c r="B6" s="9" t="s">
        <v>42</v>
      </c>
      <c r="C6" s="9" t="s">
        <v>76</v>
      </c>
      <c r="D6" s="9" t="s">
        <v>46</v>
      </c>
      <c r="E6" s="9" t="s">
        <v>79</v>
      </c>
      <c r="F6" s="9" t="s">
        <v>288</v>
      </c>
      <c r="G6" s="9" t="s">
        <v>289</v>
      </c>
      <c r="H6" s="9" t="s">
        <v>290</v>
      </c>
      <c r="I6" s="9" t="s">
        <v>291</v>
      </c>
      <c r="J6" s="9" t="s">
        <v>292</v>
      </c>
      <c r="K6" s="9" t="s">
        <v>293</v>
      </c>
      <c r="L6" s="9" t="s">
        <v>294</v>
      </c>
      <c r="M6" s="9" t="s">
        <v>295</v>
      </c>
      <c r="N6" s="9" t="s">
        <v>296</v>
      </c>
      <c r="O6" s="9" t="s">
        <v>58</v>
      </c>
      <c r="P6" s="9" t="s">
        <v>114</v>
      </c>
    </row>
    <row r="7">
      <c r="A7" s="11">
        <v>5001.0</v>
      </c>
      <c r="B7" s="2" t="s">
        <v>297</v>
      </c>
      <c r="C7" s="11">
        <v>1001.0</v>
      </c>
      <c r="D7" s="11">
        <v>30015.0</v>
      </c>
      <c r="E7" s="11">
        <v>10004.0</v>
      </c>
      <c r="F7" s="11">
        <v>10000.0</v>
      </c>
      <c r="G7" s="11">
        <v>10.0</v>
      </c>
      <c r="H7" s="11">
        <v>120.0</v>
      </c>
      <c r="I7" s="11">
        <v>80.0</v>
      </c>
      <c r="J7" s="11">
        <v>250.0</v>
      </c>
      <c r="K7" s="11">
        <v>200.0</v>
      </c>
      <c r="L7" s="11">
        <v>12.0</v>
      </c>
      <c r="M7" s="2" t="s">
        <v>70</v>
      </c>
      <c r="N7" s="11">
        <v>50.0</v>
      </c>
      <c r="O7" s="2" t="s">
        <v>70</v>
      </c>
    </row>
    <row r="8">
      <c r="A8" s="11">
        <v>5002.0</v>
      </c>
      <c r="B8" s="2" t="s">
        <v>298</v>
      </c>
      <c r="C8" s="11">
        <v>1001.0</v>
      </c>
      <c r="D8" s="11">
        <v>30016.0</v>
      </c>
      <c r="E8" s="11">
        <v>10005.0</v>
      </c>
      <c r="F8" s="11">
        <v>10000.0</v>
      </c>
      <c r="G8" s="11">
        <v>10.0</v>
      </c>
      <c r="H8" s="11">
        <v>120.0</v>
      </c>
      <c r="I8" s="11">
        <v>80.0</v>
      </c>
      <c r="J8" s="11">
        <v>250.0</v>
      </c>
      <c r="K8" s="11">
        <v>200.0</v>
      </c>
      <c r="L8" s="11">
        <v>12.0</v>
      </c>
      <c r="M8" s="2" t="s">
        <v>70</v>
      </c>
      <c r="N8" s="11">
        <v>50.0</v>
      </c>
      <c r="O8" s="2" t="s">
        <v>70</v>
      </c>
    </row>
    <row r="9">
      <c r="A9" s="11">
        <v>5003.0</v>
      </c>
      <c r="B9" s="2" t="s">
        <v>299</v>
      </c>
      <c r="C9" s="11">
        <v>1001.0</v>
      </c>
      <c r="D9" s="11">
        <v>30017.0</v>
      </c>
      <c r="E9" s="11">
        <v>10006.0</v>
      </c>
      <c r="F9" s="11">
        <v>18000.0</v>
      </c>
      <c r="G9" s="11">
        <v>20.0</v>
      </c>
      <c r="H9" s="11">
        <v>200.0</v>
      </c>
      <c r="I9" s="11">
        <v>100.0</v>
      </c>
      <c r="J9" s="11">
        <v>400.0</v>
      </c>
      <c r="K9" s="11">
        <v>0.0</v>
      </c>
      <c r="L9" s="11">
        <v>12.0</v>
      </c>
      <c r="M9" s="2" t="s">
        <v>70</v>
      </c>
      <c r="N9" s="11">
        <v>50.0</v>
      </c>
      <c r="O9" s="2" t="s">
        <v>70</v>
      </c>
      <c r="P9" s="2" t="s">
        <v>300</v>
      </c>
    </row>
    <row r="10">
      <c r="A10" s="11">
        <v>5004.0</v>
      </c>
      <c r="B10" s="2" t="s">
        <v>301</v>
      </c>
      <c r="C10" s="11">
        <v>1001.0</v>
      </c>
      <c r="D10" s="11">
        <v>30018.0</v>
      </c>
      <c r="E10" s="11">
        <v>10004.0</v>
      </c>
      <c r="F10" s="11">
        <v>8000.0</v>
      </c>
      <c r="G10" s="11">
        <v>10.0</v>
      </c>
      <c r="H10" s="11">
        <v>100.0</v>
      </c>
      <c r="I10" s="11">
        <v>80.0</v>
      </c>
      <c r="J10" s="11">
        <v>200.0</v>
      </c>
      <c r="K10" s="11">
        <v>0.0</v>
      </c>
      <c r="L10" s="11">
        <v>12.0</v>
      </c>
      <c r="M10" s="2" t="s">
        <v>70</v>
      </c>
      <c r="N10" s="11">
        <v>50.0</v>
      </c>
      <c r="O10" s="2" t="s">
        <v>70</v>
      </c>
    </row>
    <row r="11">
      <c r="A11" s="11">
        <v>5005.0</v>
      </c>
      <c r="B11" s="2" t="s">
        <v>302</v>
      </c>
      <c r="C11" s="11">
        <v>1001.0</v>
      </c>
      <c r="D11" s="11">
        <v>30019.0</v>
      </c>
      <c r="E11" s="11">
        <v>10015.0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  <c r="L11" s="11">
        <v>0.0</v>
      </c>
      <c r="M11" s="2" t="s">
        <v>226</v>
      </c>
      <c r="N11" s="11">
        <v>150.0</v>
      </c>
      <c r="O11" s="2" t="s">
        <v>70</v>
      </c>
      <c r="P11" s="2" t="s">
        <v>303</v>
      </c>
    </row>
    <row r="12">
      <c r="A12" s="11">
        <v>5006.0</v>
      </c>
      <c r="B12" s="2" t="s">
        <v>304</v>
      </c>
      <c r="C12" s="11">
        <v>1001.0</v>
      </c>
      <c r="D12" s="11">
        <v>30020.0</v>
      </c>
      <c r="E12" s="11">
        <v>10009.0</v>
      </c>
      <c r="F12" s="11">
        <v>15000.0</v>
      </c>
      <c r="G12" s="11">
        <v>30.0</v>
      </c>
      <c r="H12" s="11">
        <v>150.0</v>
      </c>
      <c r="I12" s="11">
        <v>120.0</v>
      </c>
      <c r="J12" s="11">
        <v>350.0</v>
      </c>
      <c r="K12" s="11">
        <v>0.0</v>
      </c>
      <c r="L12" s="11">
        <v>0.0</v>
      </c>
      <c r="M12" s="2" t="s">
        <v>226</v>
      </c>
      <c r="N12" s="11">
        <v>50.0</v>
      </c>
      <c r="O12" s="2" t="s">
        <v>70</v>
      </c>
      <c r="P12" s="2" t="s">
        <v>305</v>
      </c>
    </row>
    <row r="13">
      <c r="A13" s="11">
        <v>5007.0</v>
      </c>
      <c r="B13" s="2" t="s">
        <v>306</v>
      </c>
      <c r="C13" s="11">
        <v>1002.0</v>
      </c>
      <c r="E13" s="11">
        <v>10004.0</v>
      </c>
      <c r="F13" s="11">
        <v>10000.0</v>
      </c>
      <c r="G13" s="11">
        <v>0.0</v>
      </c>
      <c r="H13" s="11">
        <v>500.0</v>
      </c>
      <c r="I13" s="11">
        <v>100.0</v>
      </c>
      <c r="J13" s="11">
        <v>400.0</v>
      </c>
      <c r="K13" s="11">
        <v>0.0</v>
      </c>
      <c r="L13" s="11">
        <v>0.0</v>
      </c>
      <c r="M13" s="2" t="s">
        <v>70</v>
      </c>
      <c r="N13" s="11">
        <v>50.0</v>
      </c>
      <c r="O13" s="2" t="s">
        <v>70</v>
      </c>
    </row>
    <row r="14">
      <c r="A14" s="11">
        <v>5008.0</v>
      </c>
      <c r="B14" s="2" t="s">
        <v>307</v>
      </c>
      <c r="C14" s="11">
        <v>1002.0</v>
      </c>
      <c r="E14" s="11">
        <v>10009.0</v>
      </c>
      <c r="F14" s="11">
        <v>5000.0</v>
      </c>
      <c r="G14" s="11">
        <v>0.0</v>
      </c>
      <c r="H14" s="11">
        <v>500.0</v>
      </c>
      <c r="I14" s="11">
        <v>150.0</v>
      </c>
      <c r="J14" s="11">
        <v>600.0</v>
      </c>
      <c r="K14" s="11">
        <v>0.0</v>
      </c>
      <c r="L14" s="11">
        <v>0.0</v>
      </c>
      <c r="M14" s="2" t="s">
        <v>70</v>
      </c>
      <c r="N14" s="11">
        <v>50.0</v>
      </c>
      <c r="O14" s="2" t="s">
        <v>70</v>
      </c>
      <c r="P14" s="2" t="s">
        <v>308</v>
      </c>
    </row>
    <row r="15">
      <c r="A15" s="11">
        <v>5009.0</v>
      </c>
      <c r="B15" s="2" t="s">
        <v>309</v>
      </c>
      <c r="C15" s="11">
        <v>1003.0</v>
      </c>
      <c r="E15" s="11">
        <v>10004.0</v>
      </c>
      <c r="F15" s="11">
        <v>10000.0</v>
      </c>
      <c r="G15" s="11">
        <v>0.0</v>
      </c>
      <c r="H15" s="11">
        <v>600.0</v>
      </c>
      <c r="I15" s="11">
        <v>120.0</v>
      </c>
      <c r="J15" s="11">
        <v>500.0</v>
      </c>
      <c r="K15" s="11">
        <v>0.0</v>
      </c>
      <c r="L15" s="11">
        <v>0.0</v>
      </c>
      <c r="M15" s="2" t="s">
        <v>70</v>
      </c>
      <c r="N15" s="11">
        <v>50.0</v>
      </c>
      <c r="O15" s="2" t="s">
        <v>70</v>
      </c>
    </row>
    <row r="16">
      <c r="A16" s="11">
        <v>5010.0</v>
      </c>
      <c r="B16" s="2" t="s">
        <v>310</v>
      </c>
      <c r="C16" s="11">
        <v>1003.0</v>
      </c>
      <c r="E16" s="11">
        <v>10009.0</v>
      </c>
      <c r="F16" s="11">
        <v>12000.0</v>
      </c>
      <c r="G16" s="11">
        <v>0.0</v>
      </c>
      <c r="H16" s="11">
        <v>700.0</v>
      </c>
      <c r="I16" s="11">
        <v>400.0</v>
      </c>
      <c r="J16" s="11">
        <v>800.0</v>
      </c>
      <c r="K16" s="11">
        <v>0.0</v>
      </c>
      <c r="L16" s="11">
        <v>0.0</v>
      </c>
      <c r="M16" s="2" t="s">
        <v>70</v>
      </c>
      <c r="N16" s="11">
        <v>50.0</v>
      </c>
      <c r="O16" s="2" t="s">
        <v>70</v>
      </c>
      <c r="P16" s="2" t="s">
        <v>311</v>
      </c>
    </row>
    <row r="17">
      <c r="A17" s="11">
        <v>5011.0</v>
      </c>
      <c r="B17" s="2" t="s">
        <v>312</v>
      </c>
      <c r="C17" s="11">
        <v>1004.0</v>
      </c>
      <c r="E17" s="11">
        <v>10016.0</v>
      </c>
      <c r="F17" s="11">
        <v>0.0</v>
      </c>
      <c r="G17" s="11">
        <v>0.0</v>
      </c>
      <c r="H17" s="11">
        <v>0.0</v>
      </c>
      <c r="I17" s="11">
        <v>3000.0</v>
      </c>
      <c r="J17" s="11">
        <v>0.0</v>
      </c>
      <c r="K17" s="11">
        <v>0.0</v>
      </c>
      <c r="L17" s="11">
        <v>0.0</v>
      </c>
      <c r="M17" s="2" t="s">
        <v>70</v>
      </c>
      <c r="N17" s="11">
        <v>0.0</v>
      </c>
      <c r="O17" s="2" t="s">
        <v>70</v>
      </c>
      <c r="P17" s="2" t="s">
        <v>313</v>
      </c>
    </row>
    <row r="18">
      <c r="A18" s="11">
        <v>5012.0</v>
      </c>
      <c r="B18" s="2" t="s">
        <v>314</v>
      </c>
      <c r="C18" s="11">
        <v>1005.0</v>
      </c>
      <c r="E18" s="11">
        <v>10005.0</v>
      </c>
      <c r="F18" s="11">
        <v>9000.0</v>
      </c>
      <c r="G18" s="11">
        <v>0.0</v>
      </c>
      <c r="H18" s="11">
        <v>700.0</v>
      </c>
      <c r="I18" s="11">
        <v>100.0</v>
      </c>
      <c r="J18" s="11">
        <v>500.0</v>
      </c>
      <c r="K18" s="11">
        <v>0.0</v>
      </c>
      <c r="L18" s="11">
        <v>0.0</v>
      </c>
      <c r="M18" s="2" t="s">
        <v>70</v>
      </c>
      <c r="N18" s="11">
        <v>50.0</v>
      </c>
      <c r="O18" s="2" t="s">
        <v>70</v>
      </c>
      <c r="P18" s="2" t="s">
        <v>315</v>
      </c>
    </row>
    <row r="19">
      <c r="A19" s="11">
        <v>5013.0</v>
      </c>
      <c r="B19" s="2" t="s">
        <v>316</v>
      </c>
      <c r="C19" s="11">
        <v>1006.0</v>
      </c>
      <c r="E19" s="11">
        <v>10004.0</v>
      </c>
      <c r="F19" s="11">
        <v>12000.0</v>
      </c>
      <c r="G19" s="11">
        <v>0.0</v>
      </c>
      <c r="H19" s="11">
        <v>700.0</v>
      </c>
      <c r="I19" s="11">
        <v>150.0</v>
      </c>
      <c r="J19" s="11">
        <v>600.0</v>
      </c>
      <c r="K19" s="11">
        <v>0.0</v>
      </c>
      <c r="L19" s="11">
        <v>0.0</v>
      </c>
      <c r="M19" s="2" t="s">
        <v>70</v>
      </c>
      <c r="N19" s="11">
        <v>80.0</v>
      </c>
      <c r="O19" s="2" t="s">
        <v>70</v>
      </c>
    </row>
    <row r="20">
      <c r="A20" s="11">
        <v>5014.0</v>
      </c>
      <c r="B20" s="2" t="s">
        <v>317</v>
      </c>
      <c r="C20" s="11">
        <v>1006.0</v>
      </c>
      <c r="E20" s="11">
        <v>10005.0</v>
      </c>
      <c r="F20" s="11">
        <v>10000.0</v>
      </c>
      <c r="G20" s="11">
        <v>0.0</v>
      </c>
      <c r="H20" s="11">
        <v>500.0</v>
      </c>
      <c r="I20" s="11">
        <v>100.0</v>
      </c>
      <c r="J20" s="11">
        <v>500.0</v>
      </c>
      <c r="K20" s="11">
        <v>0.0</v>
      </c>
      <c r="L20" s="11">
        <v>0.0</v>
      </c>
      <c r="M20" s="2" t="s">
        <v>70</v>
      </c>
      <c r="N20" s="11">
        <v>80.0</v>
      </c>
      <c r="O20" s="2" t="s">
        <v>70</v>
      </c>
      <c r="P20" s="2" t="s">
        <v>318</v>
      </c>
    </row>
    <row r="21">
      <c r="A21" s="11">
        <v>5015.0</v>
      </c>
      <c r="B21" s="2" t="s">
        <v>319</v>
      </c>
      <c r="C21" s="11">
        <v>1006.0</v>
      </c>
      <c r="E21" s="11">
        <v>10006.0</v>
      </c>
      <c r="F21" s="11">
        <v>8000.0</v>
      </c>
      <c r="G21" s="11">
        <v>0.0</v>
      </c>
      <c r="H21" s="11">
        <v>900.0</v>
      </c>
      <c r="I21" s="11">
        <v>200.0</v>
      </c>
      <c r="J21" s="11">
        <v>700.0</v>
      </c>
      <c r="K21" s="11">
        <v>0.0</v>
      </c>
      <c r="L21" s="11">
        <v>0.0</v>
      </c>
      <c r="M21" s="2" t="s">
        <v>70</v>
      </c>
      <c r="N21" s="11">
        <v>80.0</v>
      </c>
      <c r="O21" s="2" t="s">
        <v>70</v>
      </c>
      <c r="P21" s="2" t="s">
        <v>320</v>
      </c>
    </row>
    <row r="22">
      <c r="A22" s="11">
        <v>5016.0</v>
      </c>
      <c r="B22" s="2" t="s">
        <v>321</v>
      </c>
      <c r="C22" s="11">
        <v>1006.0</v>
      </c>
      <c r="E22" s="11">
        <v>10009.0</v>
      </c>
      <c r="F22" s="11">
        <v>15000.0</v>
      </c>
      <c r="G22" s="11">
        <v>0.0</v>
      </c>
      <c r="H22" s="11">
        <v>1000.0</v>
      </c>
      <c r="I22" s="11">
        <v>600.0</v>
      </c>
      <c r="J22" s="11">
        <v>900.0</v>
      </c>
      <c r="K22" s="11">
        <v>0.0</v>
      </c>
      <c r="L22" s="11">
        <v>0.0</v>
      </c>
      <c r="M22" s="2" t="s">
        <v>70</v>
      </c>
      <c r="N22" s="11">
        <v>100.0</v>
      </c>
      <c r="O22" s="2" t="s">
        <v>70</v>
      </c>
      <c r="P22" s="2" t="s">
        <v>322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8.38"/>
    <col customWidth="1" min="2" max="2" width="8.0"/>
    <col customWidth="1" min="3" max="3" width="6.25"/>
    <col customWidth="1" min="4" max="4" width="32.38"/>
    <col customWidth="1" min="5" max="5" width="7.25"/>
    <col customWidth="1" min="6" max="6" width="6.63"/>
    <col customWidth="1" min="7" max="7" width="16.75"/>
    <col customWidth="1" min="8" max="8" width="24.75"/>
  </cols>
  <sheetData>
    <row r="1">
      <c r="A1" s="5" t="s">
        <v>4</v>
      </c>
      <c r="B1" s="5" t="s">
        <v>267</v>
      </c>
      <c r="C1" s="5"/>
      <c r="D1" s="5"/>
      <c r="E1" s="5"/>
      <c r="F1" s="5"/>
      <c r="G1" s="5"/>
      <c r="H1" s="5"/>
    </row>
    <row r="2">
      <c r="A2" s="5" t="s">
        <v>15</v>
      </c>
      <c r="B2" s="5" t="s">
        <v>268</v>
      </c>
      <c r="C2" s="5"/>
      <c r="D2" s="5"/>
      <c r="E2" s="5"/>
      <c r="F2" s="5"/>
      <c r="G2" s="5"/>
      <c r="H2" s="5"/>
    </row>
    <row r="3">
      <c r="A3" s="5" t="s">
        <v>22</v>
      </c>
      <c r="B3" s="5" t="s">
        <v>270</v>
      </c>
      <c r="C3" s="5"/>
      <c r="D3" s="5"/>
      <c r="E3" s="5"/>
      <c r="F3" s="5"/>
      <c r="G3" s="5"/>
      <c r="H3" s="5"/>
    </row>
    <row r="4">
      <c r="A4" s="5" t="s">
        <v>28</v>
      </c>
      <c r="B4" s="5" t="s">
        <v>272</v>
      </c>
      <c r="C4" s="5"/>
      <c r="D4" s="5"/>
      <c r="E4" s="5"/>
      <c r="F4" s="5"/>
      <c r="G4" s="5"/>
      <c r="H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</row>
    <row r="6">
      <c r="A6" s="9" t="s">
        <v>37</v>
      </c>
      <c r="B6" s="9" t="s">
        <v>42</v>
      </c>
      <c r="C6" s="9" t="s">
        <v>46</v>
      </c>
      <c r="D6" s="9" t="s">
        <v>274</v>
      </c>
      <c r="E6" s="9" t="s">
        <v>62</v>
      </c>
      <c r="F6" s="9" t="s">
        <v>86</v>
      </c>
      <c r="G6" s="9" t="s">
        <v>275</v>
      </c>
      <c r="H6" s="9" t="s">
        <v>276</v>
      </c>
      <c r="I6" s="9" t="s">
        <v>58</v>
      </c>
      <c r="J6" s="9" t="s">
        <v>114</v>
      </c>
    </row>
    <row r="7">
      <c r="A7" s="11">
        <v>6001.0</v>
      </c>
      <c r="B7" s="2" t="s">
        <v>277</v>
      </c>
      <c r="C7" s="11">
        <v>30007.0</v>
      </c>
      <c r="D7" s="2" t="s">
        <v>70</v>
      </c>
      <c r="E7" s="2" t="s">
        <v>159</v>
      </c>
      <c r="F7" s="11">
        <v>7001.0</v>
      </c>
      <c r="G7" s="2" t="s">
        <v>278</v>
      </c>
      <c r="H7" s="2" t="s">
        <v>279</v>
      </c>
      <c r="I7" s="2" t="s">
        <v>70</v>
      </c>
      <c r="J7" s="2" t="s">
        <v>281</v>
      </c>
    </row>
    <row r="8">
      <c r="A8" s="11">
        <v>6002.0</v>
      </c>
      <c r="B8" s="2" t="s">
        <v>282</v>
      </c>
      <c r="C8" s="11">
        <v>30008.0</v>
      </c>
      <c r="D8" s="2" t="s">
        <v>226</v>
      </c>
      <c r="G8" s="2" t="s">
        <v>283</v>
      </c>
      <c r="H8" s="2" t="s">
        <v>284</v>
      </c>
      <c r="I8" s="2" t="s">
        <v>70</v>
      </c>
      <c r="J8" s="2" t="s">
        <v>285</v>
      </c>
    </row>
    <row r="9">
      <c r="A9" s="11">
        <v>6003.0</v>
      </c>
      <c r="B9" s="2" t="s">
        <v>286</v>
      </c>
      <c r="C9" s="11">
        <v>30009.0</v>
      </c>
      <c r="D9" s="2" t="s">
        <v>226</v>
      </c>
      <c r="G9" s="2" t="s">
        <v>283</v>
      </c>
      <c r="H9" s="2" t="s">
        <v>287</v>
      </c>
      <c r="I9" s="2" t="s">
        <v>70</v>
      </c>
      <c r="J9" s="2" t="s">
        <v>285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7.25"/>
    <col customWidth="1" min="2" max="2" width="7.88"/>
    <col customWidth="1" min="3" max="3" width="8.38"/>
    <col customWidth="1" min="4" max="4" width="9.38"/>
    <col customWidth="1" min="5" max="5" width="8.25"/>
    <col customWidth="1" min="6" max="6" width="12.25"/>
    <col customWidth="1" min="7" max="7" width="8.38"/>
    <col customWidth="1" min="8" max="8" width="30.38"/>
  </cols>
  <sheetData>
    <row r="1">
      <c r="A1" s="5" t="s">
        <v>4</v>
      </c>
      <c r="B1" s="5" t="s">
        <v>323</v>
      </c>
      <c r="C1" s="5"/>
      <c r="D1" s="5"/>
      <c r="E1" s="5"/>
      <c r="F1" s="5"/>
      <c r="G1" s="5"/>
      <c r="H1" s="5"/>
    </row>
    <row r="2">
      <c r="A2" s="5" t="s">
        <v>15</v>
      </c>
      <c r="B2" s="5" t="s">
        <v>324</v>
      </c>
      <c r="C2" s="5"/>
      <c r="D2" s="5"/>
      <c r="E2" s="5"/>
      <c r="F2" s="5"/>
      <c r="G2" s="5"/>
      <c r="H2" s="5"/>
    </row>
    <row r="3">
      <c r="A3" s="5" t="s">
        <v>22</v>
      </c>
      <c r="B3" s="5" t="s">
        <v>325</v>
      </c>
      <c r="C3" s="5"/>
      <c r="D3" s="5"/>
      <c r="E3" s="5"/>
      <c r="F3" s="5"/>
      <c r="G3" s="5"/>
      <c r="H3" s="5"/>
    </row>
    <row r="4">
      <c r="A4" s="5" t="s">
        <v>28</v>
      </c>
      <c r="B4" s="5" t="s">
        <v>326</v>
      </c>
      <c r="C4" s="5"/>
      <c r="D4" s="5"/>
      <c r="E4" s="5"/>
      <c r="F4" s="5"/>
      <c r="G4" s="5"/>
      <c r="H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</row>
    <row r="6">
      <c r="A6" s="9" t="s">
        <v>37</v>
      </c>
      <c r="B6" s="9" t="s">
        <v>42</v>
      </c>
      <c r="C6" s="9" t="s">
        <v>46</v>
      </c>
      <c r="D6" s="9" t="s">
        <v>94</v>
      </c>
      <c r="E6" s="9" t="s">
        <v>92</v>
      </c>
      <c r="F6" s="9" t="s">
        <v>327</v>
      </c>
      <c r="G6" s="9" t="s">
        <v>328</v>
      </c>
      <c r="H6" s="9" t="s">
        <v>329</v>
      </c>
      <c r="I6" s="9" t="s">
        <v>58</v>
      </c>
      <c r="J6" s="9" t="s">
        <v>114</v>
      </c>
    </row>
    <row r="7">
      <c r="A7" s="11">
        <v>7001.0</v>
      </c>
      <c r="B7" s="2" t="s">
        <v>304</v>
      </c>
      <c r="C7" s="11">
        <v>30010.0</v>
      </c>
      <c r="D7" s="11">
        <v>6001.0</v>
      </c>
      <c r="E7" s="11">
        <v>5006.0</v>
      </c>
      <c r="F7" s="11">
        <v>8000.0</v>
      </c>
      <c r="G7" s="2" t="s">
        <v>330</v>
      </c>
      <c r="H7" s="2" t="s">
        <v>331</v>
      </c>
      <c r="I7" s="2" t="s">
        <v>70</v>
      </c>
      <c r="J7" s="2" t="s">
        <v>332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4.5"/>
    <col customWidth="1" min="3" max="3" width="4.75"/>
    <col customWidth="1" min="4" max="4" width="14.5"/>
    <col customWidth="1" min="5" max="5" width="5.63"/>
    <col customWidth="1" min="6" max="6" width="5.0"/>
    <col customWidth="1" min="7" max="7" width="15.25"/>
  </cols>
  <sheetData>
    <row r="1">
      <c r="A1" s="5" t="s">
        <v>408</v>
      </c>
      <c r="B1" s="5" t="s">
        <v>409</v>
      </c>
      <c r="C1" s="5" t="s">
        <v>410</v>
      </c>
      <c r="D1" s="5" t="s">
        <v>247</v>
      </c>
      <c r="E1" s="6"/>
      <c r="F1" s="6"/>
      <c r="G1" s="6"/>
    </row>
    <row r="2">
      <c r="A2" s="2" t="s">
        <v>98</v>
      </c>
      <c r="B2" s="16">
        <v>20.0</v>
      </c>
      <c r="C2" s="16">
        <v>15.0</v>
      </c>
      <c r="D2" s="2" t="s">
        <v>411</v>
      </c>
    </row>
    <row r="3">
      <c r="A3" s="2" t="s">
        <v>101</v>
      </c>
      <c r="B3" s="16">
        <v>14.0</v>
      </c>
      <c r="C3" s="16">
        <v>6.0</v>
      </c>
      <c r="D3" s="2" t="s">
        <v>412</v>
      </c>
    </row>
    <row r="4">
      <c r="A4" s="2" t="s">
        <v>102</v>
      </c>
      <c r="B4" s="16">
        <v>-500.0</v>
      </c>
      <c r="C4" s="16">
        <v>500.0</v>
      </c>
      <c r="D4" s="2" t="s">
        <v>413</v>
      </c>
    </row>
    <row r="5">
      <c r="A5" s="2" t="s">
        <v>104</v>
      </c>
      <c r="B5" s="16">
        <v>200.0</v>
      </c>
      <c r="C5" s="16">
        <v>100.0</v>
      </c>
      <c r="D5" s="2" t="s">
        <v>414</v>
      </c>
    </row>
    <row r="6">
      <c r="A6" s="2" t="s">
        <v>110</v>
      </c>
      <c r="B6" s="16">
        <v>30.0</v>
      </c>
      <c r="C6" s="16">
        <v>10.0</v>
      </c>
      <c r="D6" s="2" t="s">
        <v>415</v>
      </c>
    </row>
    <row r="8">
      <c r="A8" s="2" t="s">
        <v>416</v>
      </c>
    </row>
    <row r="9">
      <c r="A9" s="5" t="s">
        <v>41</v>
      </c>
      <c r="B9" s="5" t="s">
        <v>98</v>
      </c>
      <c r="C9" s="5" t="s">
        <v>101</v>
      </c>
      <c r="D9" s="5" t="s">
        <v>102</v>
      </c>
      <c r="E9" s="5" t="s">
        <v>104</v>
      </c>
      <c r="F9" s="5" t="s">
        <v>110</v>
      </c>
      <c r="G9" s="5" t="s">
        <v>417</v>
      </c>
    </row>
    <row r="10">
      <c r="A10" s="11">
        <v>1.0</v>
      </c>
      <c r="B10" s="13">
        <f t="shared" ref="B10:B14" si="1">$B$2+$C$2*$A10</f>
        <v>35</v>
      </c>
      <c r="C10" s="13">
        <f t="shared" ref="C10:C14" si="2">$B$3+$C$3*$A10</f>
        <v>20</v>
      </c>
      <c r="D10" s="13">
        <f t="shared" ref="D10:D14" si="3">$B$4+$C$4*$A10</f>
        <v>0</v>
      </c>
      <c r="E10" s="13">
        <f t="shared" ref="E10:E14" si="4">$B$5+$C$5*$A10</f>
        <v>300</v>
      </c>
      <c r="F10" s="13">
        <f t="shared" ref="F10:F14" si="5">$B$6+$C$6*$A10</f>
        <v>40</v>
      </c>
      <c r="G10" s="2" t="s">
        <v>130</v>
      </c>
    </row>
    <row r="11">
      <c r="A11" s="11">
        <v>2.0</v>
      </c>
      <c r="B11" s="13">
        <f t="shared" si="1"/>
        <v>50</v>
      </c>
      <c r="C11" s="13">
        <f t="shared" si="2"/>
        <v>26</v>
      </c>
      <c r="D11" s="13">
        <f t="shared" si="3"/>
        <v>500</v>
      </c>
      <c r="E11" s="13">
        <f t="shared" si="4"/>
        <v>400</v>
      </c>
      <c r="F11" s="13">
        <f t="shared" si="5"/>
        <v>50</v>
      </c>
      <c r="G11" s="2" t="s">
        <v>169</v>
      </c>
    </row>
    <row r="12">
      <c r="A12" s="11">
        <v>3.0</v>
      </c>
      <c r="B12" s="13">
        <f t="shared" si="1"/>
        <v>65</v>
      </c>
      <c r="C12" s="13">
        <f t="shared" si="2"/>
        <v>32</v>
      </c>
      <c r="D12" s="13">
        <f t="shared" si="3"/>
        <v>1000</v>
      </c>
      <c r="E12" s="13">
        <f t="shared" si="4"/>
        <v>500</v>
      </c>
      <c r="F12" s="13">
        <f t="shared" si="5"/>
        <v>60</v>
      </c>
      <c r="G12" s="2" t="s">
        <v>418</v>
      </c>
    </row>
    <row r="13">
      <c r="A13" s="11">
        <v>4.0</v>
      </c>
      <c r="B13" s="13">
        <f t="shared" si="1"/>
        <v>80</v>
      </c>
      <c r="C13" s="13">
        <f t="shared" si="2"/>
        <v>38</v>
      </c>
      <c r="D13" s="13">
        <f t="shared" si="3"/>
        <v>1500</v>
      </c>
      <c r="E13" s="13">
        <f t="shared" si="4"/>
        <v>600</v>
      </c>
      <c r="F13" s="13">
        <f t="shared" si="5"/>
        <v>70</v>
      </c>
      <c r="G13" s="2" t="s">
        <v>419</v>
      </c>
    </row>
    <row r="14">
      <c r="A14" s="11">
        <v>5.0</v>
      </c>
      <c r="B14" s="13">
        <f t="shared" si="1"/>
        <v>95</v>
      </c>
      <c r="C14" s="13">
        <f t="shared" si="2"/>
        <v>44</v>
      </c>
      <c r="D14" s="13">
        <f t="shared" si="3"/>
        <v>2000</v>
      </c>
      <c r="E14" s="13">
        <f t="shared" si="4"/>
        <v>700</v>
      </c>
      <c r="F14" s="13">
        <f t="shared" si="5"/>
        <v>80</v>
      </c>
      <c r="G14" s="2" t="s">
        <v>419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6.38"/>
    <col customWidth="1" min="3" max="26" width="12.0"/>
  </cols>
  <sheetData>
    <row r="1">
      <c r="A1" s="17" t="s">
        <v>514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>
      <c r="A2" s="19" t="s">
        <v>515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9" t="s">
        <v>516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20" t="s">
        <v>517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21" t="s">
        <v>518</v>
      </c>
      <c r="B6" s="21" t="s">
        <v>519</v>
      </c>
      <c r="C6" s="21" t="s">
        <v>520</v>
      </c>
      <c r="D6" s="21" t="s">
        <v>521</v>
      </c>
      <c r="E6" s="21" t="s">
        <v>522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9" t="s">
        <v>523</v>
      </c>
      <c r="B7" s="22">
        <v>1001.0</v>
      </c>
      <c r="C7" s="18">
        <f t="array" ref="C7">INDEX(UnitStat!$G:$G,MATCH($B7,UnitStat!$A:$A,0))</f>
        <v>10</v>
      </c>
      <c r="D7" s="23"/>
      <c r="E7" s="18">
        <f t="shared" ref="E7:E19" si="1">IF(D7="",C7,D7)</f>
        <v>10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9" t="s">
        <v>524</v>
      </c>
      <c r="B8" s="22">
        <v>1001.0</v>
      </c>
      <c r="C8" s="18">
        <f t="array" ref="C8">INDEX(UnitStat!$J:$J,MATCH($B8,UnitStat!$A:$A,0))</f>
        <v>1000</v>
      </c>
      <c r="D8" s="23"/>
      <c r="E8" s="18">
        <f t="shared" si="1"/>
        <v>1000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9" t="s">
        <v>525</v>
      </c>
      <c r="B9" s="22">
        <v>1001.0</v>
      </c>
      <c r="C9" s="18">
        <f t="array" ref="C9">INDEX(UnitStat!$K:$K,MATCH($B9,UnitStat!$A:$A,0))</f>
        <v>15000</v>
      </c>
      <c r="D9" s="23"/>
      <c r="E9" s="18">
        <f t="shared" si="1"/>
        <v>15000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9" t="s">
        <v>98</v>
      </c>
      <c r="B10" s="22">
        <v>1001.0</v>
      </c>
      <c r="C10" s="18">
        <f t="array" ref="C10">INDEX(UnitStat!$F:$F,MATCH($B10,UnitStat!$A:$A,0))</f>
        <v>100</v>
      </c>
      <c r="D10" s="23"/>
      <c r="E10" s="18">
        <f t="shared" si="1"/>
        <v>100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9" t="s">
        <v>526</v>
      </c>
      <c r="B11" s="22">
        <v>1001.0</v>
      </c>
      <c r="C11" s="18">
        <f t="array" ref="C11">INDEX(UnitStat!$H:$H,MATCH($B11,UnitStat!$A:$A,0))</f>
        <v>0</v>
      </c>
      <c r="D11" s="23"/>
      <c r="E11" s="18">
        <f t="shared" si="1"/>
        <v>0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9" t="s">
        <v>527</v>
      </c>
      <c r="B12" s="22">
        <v>1001.0</v>
      </c>
      <c r="C12" s="18">
        <f t="array" ref="C12">INDEX(UnitStat!$I:$I,MATCH($B12,UnitStat!$A:$A,0))</f>
        <v>500</v>
      </c>
      <c r="D12" s="23"/>
      <c r="E12" s="18">
        <f t="shared" si="1"/>
        <v>500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9" t="s">
        <v>528</v>
      </c>
      <c r="B13" s="22">
        <v>5001.0</v>
      </c>
      <c r="C13" s="18">
        <f t="array" ref="C13">INDEX(Attack!$F:$F,MATCH($B13,Attack!$A:$A,0))</f>
        <v>10000</v>
      </c>
      <c r="D13" s="23"/>
      <c r="E13" s="18">
        <f t="shared" si="1"/>
        <v>10000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19" t="s">
        <v>529</v>
      </c>
      <c r="B14" s="22">
        <v>5002.0</v>
      </c>
      <c r="C14" s="18">
        <f t="array" ref="C14">INDEX(Attack!$F:$F,MATCH($B14,Attack!$A:$A,0))</f>
        <v>10000</v>
      </c>
      <c r="D14" s="23"/>
      <c r="E14" s="18">
        <f t="shared" si="1"/>
        <v>10000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19" t="s">
        <v>530</v>
      </c>
      <c r="B15" s="22">
        <v>5003.0</v>
      </c>
      <c r="C15" s="18">
        <f t="array" ref="C15">INDEX(Attack!$F:$F,MATCH($B15,Attack!$A:$A,0))</f>
        <v>18000</v>
      </c>
      <c r="D15" s="23"/>
      <c r="E15" s="18">
        <f t="shared" si="1"/>
        <v>18000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9" t="s">
        <v>531</v>
      </c>
      <c r="B16" s="22">
        <v>5001.0</v>
      </c>
      <c r="C16" s="18">
        <f t="array" ref="C16">INDEX(Attack!$G:$G,MATCH($B16,Attack!$A:$A,0))</f>
        <v>10</v>
      </c>
      <c r="D16" s="23"/>
      <c r="E16" s="18">
        <f t="shared" si="1"/>
        <v>10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9" t="s">
        <v>532</v>
      </c>
      <c r="B17" s="22">
        <v>5002.0</v>
      </c>
      <c r="C17" s="18">
        <f t="array" ref="C17">INDEX(Attack!$G:$G,MATCH($B17,Attack!$A:$A,0))</f>
        <v>10</v>
      </c>
      <c r="D17" s="23"/>
      <c r="E17" s="18">
        <f t="shared" si="1"/>
        <v>10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9" t="s">
        <v>533</v>
      </c>
      <c r="B18" s="22">
        <v>5003.0</v>
      </c>
      <c r="C18" s="18">
        <f t="array" ref="C18">INDEX(Attack!$G:$G,MATCH($B18,Attack!$A:$A,0))</f>
        <v>20</v>
      </c>
      <c r="D18" s="23"/>
      <c r="E18" s="18">
        <f t="shared" si="1"/>
        <v>20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9" t="s">
        <v>534</v>
      </c>
      <c r="B19" s="19" t="s">
        <v>535</v>
      </c>
      <c r="C19" s="18">
        <f t="array" ref="C19">SUM(INDEX(Attack!$H:$J,MATCH($B13,Attack!$A:$A,0),0))+SUM(INDEX(Attack!$H:$J,MATCH($B14,Attack!$A:$A,0),0))+SUM(INDEX(Attack!$H:$J,MATCH($B15,Attack!$A:$A,0),0))</f>
        <v>1600</v>
      </c>
      <c r="D19" s="23"/>
      <c r="E19" s="18">
        <f t="shared" si="1"/>
        <v>1600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20" t="s">
        <v>536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21" t="s">
        <v>537</v>
      </c>
      <c r="B22" s="21" t="s">
        <v>538</v>
      </c>
      <c r="C22" s="21" t="s">
        <v>98</v>
      </c>
      <c r="D22" s="21" t="s">
        <v>102</v>
      </c>
      <c r="E22" s="21" t="s">
        <v>539</v>
      </c>
      <c r="F22" s="21" t="s">
        <v>540</v>
      </c>
      <c r="G22" s="21" t="s">
        <v>541</v>
      </c>
      <c r="H22" s="21" t="s">
        <v>542</v>
      </c>
      <c r="I22" s="21" t="s">
        <v>543</v>
      </c>
      <c r="J22" s="21" t="s">
        <v>544</v>
      </c>
      <c r="K22" s="21" t="s">
        <v>545</v>
      </c>
      <c r="L22" s="21" t="s">
        <v>546</v>
      </c>
      <c r="M22" s="21" t="s">
        <v>547</v>
      </c>
      <c r="N22" s="21" t="s">
        <v>548</v>
      </c>
      <c r="O22" s="21" t="s">
        <v>549</v>
      </c>
      <c r="P22" s="21" t="s">
        <v>550</v>
      </c>
      <c r="Q22" s="21" t="s">
        <v>551</v>
      </c>
      <c r="R22" s="21" t="s">
        <v>552</v>
      </c>
      <c r="S22" s="21" t="s">
        <v>553</v>
      </c>
      <c r="T22" s="21" t="s">
        <v>554</v>
      </c>
      <c r="U22" s="21" t="s">
        <v>555</v>
      </c>
      <c r="V22" s="21" t="s">
        <v>556</v>
      </c>
      <c r="W22" s="21" t="s">
        <v>557</v>
      </c>
      <c r="X22" s="21" t="s">
        <v>558</v>
      </c>
      <c r="Y22" s="21" t="s">
        <v>559</v>
      </c>
      <c r="Z22" s="21" t="s">
        <v>560</v>
      </c>
      <c r="AA22" s="18"/>
      <c r="AB22" s="18"/>
      <c r="AC22" s="18"/>
      <c r="AD22" s="18"/>
    </row>
    <row r="23">
      <c r="A23" s="22">
        <v>1002.0</v>
      </c>
      <c r="B23" s="18" t="str">
        <f t="array" ref="B23">INDEX(UnitStat!$B:$B,MATCH($A23,UnitStat!$A:$A,0))</f>
        <v>허수귀</v>
      </c>
      <c r="C23" s="18">
        <f t="array" ref="C23">INDEX(UnitStat!$F:$F,MATCH($A23,UnitStat!$A:$A,0))</f>
        <v>35</v>
      </c>
      <c r="D23" s="18">
        <f t="array" ref="D23">INDEX(UnitStat!$H:$H,MATCH($A23,UnitStat!$A:$A,0))</f>
        <v>0</v>
      </c>
      <c r="E23" s="18">
        <f t="array" ref="E23">INDEX(UnitStat!$I:$I,MATCH($A23,UnitStat!$A:$A,0))</f>
        <v>300</v>
      </c>
      <c r="F23" s="23"/>
      <c r="G23" s="18">
        <f t="shared" ref="G23:G27" si="2">IF($F23="",$E23,$F23)</f>
        <v>300</v>
      </c>
      <c r="H23" s="18">
        <f t="array" ref="H23">INDEX(UnitStat!$L:$L,MATCH($A23,UnitStat!$A:$A,0))</f>
        <v>40</v>
      </c>
      <c r="I23" s="18">
        <f t="shared" ref="I23:I27" si="3">MAX(1,INT($E$7*$E$13*10000*(10000-$D23)/10^12+0.000000001))</f>
        <v>10</v>
      </c>
      <c r="J23" s="18">
        <f t="shared" ref="J23:J27" si="4">MAX(1,INT($E$7*$E$13*$E$9*(10000-$D23)/10^12+0.000000001))</f>
        <v>15</v>
      </c>
      <c r="K23" s="18">
        <f t="shared" ref="K23:K27" si="5">MAX(1,INT($E$7*$E$14*10000*(10000-$D23)/10^12+0.000000001))</f>
        <v>10</v>
      </c>
      <c r="L23" s="18">
        <f t="shared" ref="L23:L27" si="6">MAX(1,INT($E$7*$E$14*$E$9*(10000-$D23)/10^12+0.000000001))</f>
        <v>15</v>
      </c>
      <c r="M23" s="18">
        <f t="shared" ref="M23:M27" si="7">MAX(1,INT($E$7*$E$15*10000*(10000-$D23)/10^12+0.000000001))</f>
        <v>18</v>
      </c>
      <c r="N23" s="18">
        <f t="shared" ref="N23:N27" si="8">MAX(1,INT($E$7*$E$15*$E$9*(10000-$D23)/10^12+0.000000001))</f>
        <v>27</v>
      </c>
      <c r="O23" s="24">
        <f t="shared" ref="O23:O27" si="9">(1-$G23/10000)*((1-$E$8/10000)*$I23+$E$8/10000*$J23)</f>
        <v>10.185</v>
      </c>
      <c r="P23" s="24">
        <f t="shared" ref="P23:P27" si="10">(1-$G23/10000)*((1-$E$8/10000)*($I23+$K23+$M23)+$E$8/10000*($J23+$L23+$N23))</f>
        <v>38.703</v>
      </c>
      <c r="Q23" s="24">
        <f t="shared" ref="Q23:Q27" si="11">(1-$G23/10000)*($E$16+$E$17+$E$18)</f>
        <v>38.8</v>
      </c>
      <c r="R23" s="24">
        <f t="shared" ref="R23:R27" si="12">$C23/$P23</f>
        <v>0.9043226623</v>
      </c>
      <c r="S23" s="24">
        <f t="shared" ref="S23:S27" si="13">$H23/$Q23</f>
        <v>1.030927835</v>
      </c>
      <c r="T23" s="18" t="str">
        <f t="array" ref="T23">IF(INDEX(UnitStat!$D:$D,MATCH($A23,UnitStat!$A:$A,0))="Boss",INT($C23*INDEX(Boss!$K:$K,MATCH($A23,Boss!$C:$C,0))/10000),"즉사")</f>
        <v>즉사</v>
      </c>
      <c r="U23" s="24">
        <f t="shared" ref="U23:U27" si="14">IF(ISNUMBER($T23),$C23/($S23*$P23+$T23)*$S23,MIN($R23,$S23))</f>
        <v>0.9043226623</v>
      </c>
      <c r="V23" s="24">
        <f t="shared" ref="V23:V27" si="15">IF(ISNUMBER($T23),$C23/($S23*$P23+$T23),IF($S23&lt;=$R23,1,0))</f>
        <v>0</v>
      </c>
      <c r="W23" s="24">
        <f t="shared" ref="W23:W27" si="16">$U23*$E$19/1000</f>
        <v>1.44691626</v>
      </c>
      <c r="X23" s="18">
        <f t="shared" ref="X23:X27" si="17">ROUNDUP($C23/$I23,0)</f>
        <v>4</v>
      </c>
      <c r="Y23" s="24">
        <f t="shared" ref="Y23:Y27" si="18">$C23/$O23</f>
        <v>3.436426117</v>
      </c>
      <c r="Z23" s="18" t="str">
        <f t="shared" ref="Z23:Z27" si="19">IF(ISNUMBER($T23),"체세 붕괴 → 해체 반복",IF($S23&lt;=$R23,"체세 먼저 무너짐 → 해체","HP 먼저 바닥 → 평타로 처치"))</f>
        <v>HP 먼저 바닥 → 평타로 처치</v>
      </c>
      <c r="AA23" s="18"/>
      <c r="AB23" s="18"/>
      <c r="AC23" s="18"/>
      <c r="AD23" s="18"/>
    </row>
    <row r="24">
      <c r="A24" s="22">
        <v>1003.0</v>
      </c>
      <c r="B24" s="18" t="str">
        <f t="array" ref="B24">INDEX(UnitStat!$B:$B,MATCH($A24,UnitStat!$A:$A,0))</f>
        <v>지게귀</v>
      </c>
      <c r="C24" s="18">
        <f t="array" ref="C24">INDEX(UnitStat!$F:$F,MATCH($A24,UnitStat!$A:$A,0))</f>
        <v>50</v>
      </c>
      <c r="D24" s="18">
        <f t="array" ref="D24">INDEX(UnitStat!$H:$H,MATCH($A24,UnitStat!$A:$A,0))</f>
        <v>500</v>
      </c>
      <c r="E24" s="18">
        <f t="array" ref="E24">INDEX(UnitStat!$I:$I,MATCH($A24,UnitStat!$A:$A,0))</f>
        <v>400</v>
      </c>
      <c r="F24" s="23"/>
      <c r="G24" s="18">
        <f t="shared" si="2"/>
        <v>400</v>
      </c>
      <c r="H24" s="18">
        <f t="array" ref="H24">INDEX(UnitStat!$L:$L,MATCH($A24,UnitStat!$A:$A,0))</f>
        <v>50</v>
      </c>
      <c r="I24" s="18">
        <f t="shared" si="3"/>
        <v>9</v>
      </c>
      <c r="J24" s="18">
        <f t="shared" si="4"/>
        <v>14</v>
      </c>
      <c r="K24" s="18">
        <f t="shared" si="5"/>
        <v>9</v>
      </c>
      <c r="L24" s="18">
        <f t="shared" si="6"/>
        <v>14</v>
      </c>
      <c r="M24" s="18">
        <f t="shared" si="7"/>
        <v>17</v>
      </c>
      <c r="N24" s="18">
        <f t="shared" si="8"/>
        <v>25</v>
      </c>
      <c r="O24" s="24">
        <f t="shared" si="9"/>
        <v>9.12</v>
      </c>
      <c r="P24" s="24">
        <f t="shared" si="10"/>
        <v>35.328</v>
      </c>
      <c r="Q24" s="24">
        <f t="shared" si="11"/>
        <v>38.4</v>
      </c>
      <c r="R24" s="24">
        <f t="shared" si="12"/>
        <v>1.415307971</v>
      </c>
      <c r="S24" s="24">
        <f t="shared" si="13"/>
        <v>1.302083333</v>
      </c>
      <c r="T24" s="18" t="str">
        <f t="array" ref="T24">IF(INDEX(UnitStat!$D:$D,MATCH($A24,UnitStat!$A:$A,0))="Boss",INT($C24*INDEX(Boss!$K:$K,MATCH($A24,Boss!$C:$C,0))/10000),"즉사")</f>
        <v>즉사</v>
      </c>
      <c r="U24" s="24">
        <f t="shared" si="14"/>
        <v>1.302083333</v>
      </c>
      <c r="V24" s="24">
        <f t="shared" si="15"/>
        <v>1</v>
      </c>
      <c r="W24" s="24">
        <f t="shared" si="16"/>
        <v>2.083333333</v>
      </c>
      <c r="X24" s="18">
        <f t="shared" si="17"/>
        <v>6</v>
      </c>
      <c r="Y24" s="24">
        <f t="shared" si="18"/>
        <v>5.48245614</v>
      </c>
      <c r="Z24" s="18" t="str">
        <f t="shared" si="19"/>
        <v>체세 먼저 무너짐 → 해체</v>
      </c>
      <c r="AA24" s="18"/>
      <c r="AB24" s="18"/>
      <c r="AC24" s="18"/>
      <c r="AD24" s="18"/>
    </row>
    <row r="25">
      <c r="A25" s="22">
        <v>1004.0</v>
      </c>
      <c r="B25" s="18" t="str">
        <f t="array" ref="B25">INDEX(UnitStat!$B:$B,MATCH($A25,UnitStat!$A:$A,0))</f>
        <v>불붙은 허수귀</v>
      </c>
      <c r="C25" s="18">
        <f t="array" ref="C25">INDEX(UnitStat!$F:$F,MATCH($A25,UnitStat!$A:$A,0))</f>
        <v>65</v>
      </c>
      <c r="D25" s="18">
        <f t="array" ref="D25">INDEX(UnitStat!$H:$H,MATCH($A25,UnitStat!$A:$A,0))</f>
        <v>1000</v>
      </c>
      <c r="E25" s="18">
        <f t="array" ref="E25">INDEX(UnitStat!$I:$I,MATCH($A25,UnitStat!$A:$A,0))</f>
        <v>500</v>
      </c>
      <c r="F25" s="23"/>
      <c r="G25" s="18">
        <f t="shared" si="2"/>
        <v>500</v>
      </c>
      <c r="H25" s="18">
        <f t="array" ref="H25">INDEX(UnitStat!$L:$L,MATCH($A25,UnitStat!$A:$A,0))</f>
        <v>60</v>
      </c>
      <c r="I25" s="18">
        <f t="shared" si="3"/>
        <v>9</v>
      </c>
      <c r="J25" s="18">
        <f t="shared" si="4"/>
        <v>13</v>
      </c>
      <c r="K25" s="18">
        <f t="shared" si="5"/>
        <v>9</v>
      </c>
      <c r="L25" s="18">
        <f t="shared" si="6"/>
        <v>13</v>
      </c>
      <c r="M25" s="18">
        <f t="shared" si="7"/>
        <v>16</v>
      </c>
      <c r="N25" s="18">
        <f t="shared" si="8"/>
        <v>24</v>
      </c>
      <c r="O25" s="24">
        <f t="shared" si="9"/>
        <v>8.93</v>
      </c>
      <c r="P25" s="24">
        <f t="shared" si="10"/>
        <v>33.82</v>
      </c>
      <c r="Q25" s="24">
        <f t="shared" si="11"/>
        <v>38</v>
      </c>
      <c r="R25" s="24">
        <f t="shared" si="12"/>
        <v>1.921939681</v>
      </c>
      <c r="S25" s="24">
        <f t="shared" si="13"/>
        <v>1.578947368</v>
      </c>
      <c r="T25" s="18" t="str">
        <f t="array" ref="T25">IF(INDEX(UnitStat!$D:$D,MATCH($A25,UnitStat!$A:$A,0))="Boss",INT($C25*INDEX(Boss!$K:$K,MATCH($A25,Boss!$C:$C,0))/10000),"즉사")</f>
        <v>즉사</v>
      </c>
      <c r="U25" s="24">
        <f t="shared" si="14"/>
        <v>1.578947368</v>
      </c>
      <c r="V25" s="24">
        <f t="shared" si="15"/>
        <v>1</v>
      </c>
      <c r="W25" s="24">
        <f t="shared" si="16"/>
        <v>2.526315789</v>
      </c>
      <c r="X25" s="18">
        <f t="shared" si="17"/>
        <v>8</v>
      </c>
      <c r="Y25" s="24">
        <f t="shared" si="18"/>
        <v>7.278835386</v>
      </c>
      <c r="Z25" s="18" t="str">
        <f t="shared" si="19"/>
        <v>체세 먼저 무너짐 → 해체</v>
      </c>
      <c r="AA25" s="18"/>
      <c r="AB25" s="18"/>
      <c r="AC25" s="18"/>
      <c r="AD25" s="18"/>
    </row>
    <row r="26">
      <c r="A26" s="22">
        <v>1005.0</v>
      </c>
      <c r="B26" s="18" t="str">
        <f t="array" ref="B26">INDEX(UnitStat!$B:$B,MATCH($A26,UnitStat!$A:$A,0))</f>
        <v>짐 던지는 지게귀</v>
      </c>
      <c r="C26" s="18">
        <f t="array" ref="C26">INDEX(UnitStat!$F:$F,MATCH($A26,UnitStat!$A:$A,0))</f>
        <v>65</v>
      </c>
      <c r="D26" s="18">
        <f t="array" ref="D26">INDEX(UnitStat!$H:$H,MATCH($A26,UnitStat!$A:$A,0))</f>
        <v>1000</v>
      </c>
      <c r="E26" s="18">
        <f t="array" ref="E26">INDEX(UnitStat!$I:$I,MATCH($A26,UnitStat!$A:$A,0))</f>
        <v>500</v>
      </c>
      <c r="F26" s="23"/>
      <c r="G26" s="18">
        <f t="shared" si="2"/>
        <v>500</v>
      </c>
      <c r="H26" s="18">
        <f t="array" ref="H26">INDEX(UnitStat!$L:$L,MATCH($A26,UnitStat!$A:$A,0))</f>
        <v>60</v>
      </c>
      <c r="I26" s="18">
        <f t="shared" si="3"/>
        <v>9</v>
      </c>
      <c r="J26" s="18">
        <f t="shared" si="4"/>
        <v>13</v>
      </c>
      <c r="K26" s="18">
        <f t="shared" si="5"/>
        <v>9</v>
      </c>
      <c r="L26" s="18">
        <f t="shared" si="6"/>
        <v>13</v>
      </c>
      <c r="M26" s="18">
        <f t="shared" si="7"/>
        <v>16</v>
      </c>
      <c r="N26" s="18">
        <f t="shared" si="8"/>
        <v>24</v>
      </c>
      <c r="O26" s="24">
        <f t="shared" si="9"/>
        <v>8.93</v>
      </c>
      <c r="P26" s="24">
        <f t="shared" si="10"/>
        <v>33.82</v>
      </c>
      <c r="Q26" s="24">
        <f t="shared" si="11"/>
        <v>38</v>
      </c>
      <c r="R26" s="24">
        <f t="shared" si="12"/>
        <v>1.921939681</v>
      </c>
      <c r="S26" s="24">
        <f t="shared" si="13"/>
        <v>1.578947368</v>
      </c>
      <c r="T26" s="18" t="str">
        <f t="array" ref="T26">IF(INDEX(UnitStat!$D:$D,MATCH($A26,UnitStat!$A:$A,0))="Boss",INT($C26*INDEX(Boss!$K:$K,MATCH($A26,Boss!$C:$C,0))/10000),"즉사")</f>
        <v>즉사</v>
      </c>
      <c r="U26" s="24">
        <f t="shared" si="14"/>
        <v>1.578947368</v>
      </c>
      <c r="V26" s="24">
        <f t="shared" si="15"/>
        <v>1</v>
      </c>
      <c r="W26" s="24">
        <f t="shared" si="16"/>
        <v>2.526315789</v>
      </c>
      <c r="X26" s="18">
        <f t="shared" si="17"/>
        <v>8</v>
      </c>
      <c r="Y26" s="24">
        <f t="shared" si="18"/>
        <v>7.278835386</v>
      </c>
      <c r="Z26" s="18" t="str">
        <f t="shared" si="19"/>
        <v>체세 먼저 무너짐 → 해체</v>
      </c>
      <c r="AA26" s="18"/>
      <c r="AB26" s="18"/>
      <c r="AC26" s="18"/>
      <c r="AD26" s="18"/>
    </row>
    <row r="27">
      <c r="A27" s="22">
        <v>1006.0</v>
      </c>
      <c r="B27" s="18" t="str">
        <f t="array" ref="B27">INDEX(UnitStat!$B:$B,MATCH($A27,UnitStat!$A:$A,0))</f>
        <v>쇄문아비</v>
      </c>
      <c r="C27" s="18">
        <f t="array" ref="C27">INDEX(UnitStat!$F:$F,MATCH($A27,UnitStat!$A:$A,0))</f>
        <v>420</v>
      </c>
      <c r="D27" s="18">
        <f t="array" ref="D27">INDEX(UnitStat!$H:$H,MATCH($A27,UnitStat!$A:$A,0))</f>
        <v>1000</v>
      </c>
      <c r="E27" s="18">
        <f t="array" ref="E27">INDEX(UnitStat!$I:$I,MATCH($A27,UnitStat!$A:$A,0))</f>
        <v>300</v>
      </c>
      <c r="F27" s="23"/>
      <c r="G27" s="18">
        <f t="shared" si="2"/>
        <v>300</v>
      </c>
      <c r="H27" s="18">
        <f t="array" ref="H27">INDEX(UnitStat!$L:$L,MATCH($A27,UnitStat!$A:$A,0))</f>
        <v>120</v>
      </c>
      <c r="I27" s="18">
        <f t="shared" si="3"/>
        <v>9</v>
      </c>
      <c r="J27" s="18">
        <f t="shared" si="4"/>
        <v>13</v>
      </c>
      <c r="K27" s="18">
        <f t="shared" si="5"/>
        <v>9</v>
      </c>
      <c r="L27" s="18">
        <f t="shared" si="6"/>
        <v>13</v>
      </c>
      <c r="M27" s="18">
        <f t="shared" si="7"/>
        <v>16</v>
      </c>
      <c r="N27" s="18">
        <f t="shared" si="8"/>
        <v>24</v>
      </c>
      <c r="O27" s="24">
        <f t="shared" si="9"/>
        <v>9.118</v>
      </c>
      <c r="P27" s="24">
        <f t="shared" si="10"/>
        <v>34.532</v>
      </c>
      <c r="Q27" s="24">
        <f t="shared" si="11"/>
        <v>38.8</v>
      </c>
      <c r="R27" s="24">
        <f t="shared" si="12"/>
        <v>12.16263176</v>
      </c>
      <c r="S27" s="24">
        <f t="shared" si="13"/>
        <v>3.092783505</v>
      </c>
      <c r="T27" s="18">
        <f t="array" ref="T27">IF(INDEX(UnitStat!$D:$D,MATCH($A27,UnitStat!$A:$A,0))="Boss",INT($C27*INDEX(Boss!$K:$K,MATCH($A27,Boss!$C:$C,0))/10000),"즉사")</f>
        <v>75</v>
      </c>
      <c r="U27" s="24">
        <f t="shared" si="14"/>
        <v>7.145044401</v>
      </c>
      <c r="V27" s="24">
        <f t="shared" si="15"/>
        <v>2.310231023</v>
      </c>
      <c r="W27" s="24">
        <f t="shared" si="16"/>
        <v>11.43207104</v>
      </c>
      <c r="X27" s="18">
        <f t="shared" si="17"/>
        <v>47</v>
      </c>
      <c r="Y27" s="24">
        <f t="shared" si="18"/>
        <v>46.06273306</v>
      </c>
      <c r="Z27" s="18" t="str">
        <f t="shared" si="19"/>
        <v>체세 붕괴 → 해체 반복</v>
      </c>
      <c r="AA27" s="18"/>
      <c r="AB27" s="18"/>
      <c r="AC27" s="18"/>
      <c r="AD27" s="18"/>
    </row>
    <row r="28">
      <c r="A28" s="19" t="s">
        <v>561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20" t="s">
        <v>562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21" t="s">
        <v>92</v>
      </c>
      <c r="B31" s="21" t="s">
        <v>563</v>
      </c>
      <c r="C31" s="21" t="s">
        <v>247</v>
      </c>
      <c r="D31" s="21" t="s">
        <v>240</v>
      </c>
      <c r="E31" s="21" t="s">
        <v>564</v>
      </c>
      <c r="F31" s="21" t="s">
        <v>565</v>
      </c>
      <c r="G31" s="21" t="s">
        <v>566</v>
      </c>
      <c r="H31" s="21" t="s">
        <v>242</v>
      </c>
      <c r="I31" s="21" t="s">
        <v>567</v>
      </c>
      <c r="J31" s="21" t="s">
        <v>568</v>
      </c>
      <c r="K31" s="21" t="s">
        <v>569</v>
      </c>
      <c r="L31" s="21" t="s">
        <v>570</v>
      </c>
      <c r="M31" s="21" t="s">
        <v>571</v>
      </c>
      <c r="N31" s="21" t="s">
        <v>572</v>
      </c>
      <c r="O31" s="21" t="s">
        <v>573</v>
      </c>
      <c r="P31" s="21" t="s">
        <v>574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22">
        <v>5007.0</v>
      </c>
      <c r="B32" s="18">
        <f t="array" ref="B32">INDEX(Attack!$C:$C,MATCH($A32,Attack!$A:$A,0))</f>
        <v>1002</v>
      </c>
      <c r="C32" s="18" t="str">
        <f t="array" ref="C32">INDEX(Attack!$B:$B,MATCH($A32,Attack!$A:$A,0))</f>
        <v>허수귀 팔 휘두르기</v>
      </c>
      <c r="D32" s="18">
        <f t="array" ref="D32">INDEX(UnitStat!$G:$G,MATCH($B32,UnitStat!$A:$A,0))</f>
        <v>20</v>
      </c>
      <c r="E32" s="18">
        <f t="array" ref="E32">INDEX(Attack!$F:$F,MATCH($A32,Attack!$A:$A,0))</f>
        <v>10000</v>
      </c>
      <c r="F32" s="18" t="str">
        <f t="array" ref="F32">INDEX(Attack!$M:$M,MATCH($A32,Attack!$A:$A,0))</f>
        <v>Y</v>
      </c>
      <c r="G32" s="18">
        <f t="array" ref="G32">INDEX(UnitStat!$J:$J,MATCH($B32,UnitStat!$A:$A,0))</f>
        <v>0</v>
      </c>
      <c r="H32" s="18">
        <f t="array" ref="H32">INDEX(UnitStat!$K:$K,MATCH($B32,UnitStat!$A:$A,0))</f>
        <v>15000</v>
      </c>
      <c r="I32" s="18">
        <f t="shared" ref="I32:I40" si="20">MAX(1,INT($D32*$E32*10000*(10000-$E$11)/10^12+0.000000001))</f>
        <v>20</v>
      </c>
      <c r="J32" s="18">
        <f t="shared" ref="J32:J40" si="21">MAX(1,INT($D32*$E32*$H32*(10000-$E$11)/10^12+0.000000001))</f>
        <v>30</v>
      </c>
      <c r="K32" s="24">
        <f t="shared" ref="K32:K40" si="22">(1-IF($F32="Y",$E$12,0)/10000)*((1-$G32/10000)*$I32+$G32/10000*$J32)</f>
        <v>19</v>
      </c>
      <c r="L32" s="18">
        <f t="shared" ref="L32:L40" si="23">ROUNDUP($E$10/$I32,0)</f>
        <v>5</v>
      </c>
      <c r="M32" s="24">
        <f t="shared" ref="M32:M40" si="24">$E$10/$K32</f>
        <v>5.263157895</v>
      </c>
      <c r="N32" s="25">
        <v>4.0</v>
      </c>
      <c r="O32" s="25">
        <v>5.0</v>
      </c>
      <c r="P32" s="18" t="str">
        <f t="shared" ref="P32:P40" si="25">IF($N32="","구속 공격(비교 안 함)",IF(AND($L32&gt;=$N32,$L32&lt;=$O32),"목표 안",IF($L32&lt;$N32,"목표보다 아픔","목표보다 약함")))</f>
        <v>목표 안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22">
        <v>5008.0</v>
      </c>
      <c r="B33" s="18">
        <f t="array" ref="B33">INDEX(Attack!$C:$C,MATCH($A33,Attack!$A:$A,0))</f>
        <v>1002</v>
      </c>
      <c r="C33" s="18" t="str">
        <f t="array" ref="C33">INDEX(Attack!$B:$B,MATCH($A33,Attack!$A:$A,0))</f>
        <v>허수귀 짚 팔 잡기</v>
      </c>
      <c r="D33" s="18">
        <f t="array" ref="D33">INDEX(UnitStat!$G:$G,MATCH($B33,UnitStat!$A:$A,0))</f>
        <v>20</v>
      </c>
      <c r="E33" s="18">
        <f t="array" ref="E33">INDEX(Attack!$F:$F,MATCH($A33,Attack!$A:$A,0))</f>
        <v>5000</v>
      </c>
      <c r="F33" s="18" t="str">
        <f t="array" ref="F33">INDEX(Attack!$M:$M,MATCH($A33,Attack!$A:$A,0))</f>
        <v>Y</v>
      </c>
      <c r="G33" s="18">
        <f t="array" ref="G33">INDEX(UnitStat!$J:$J,MATCH($B33,UnitStat!$A:$A,0))</f>
        <v>0</v>
      </c>
      <c r="H33" s="18">
        <f t="array" ref="H33">INDEX(UnitStat!$K:$K,MATCH($B33,UnitStat!$A:$A,0))</f>
        <v>15000</v>
      </c>
      <c r="I33" s="18">
        <f t="shared" si="20"/>
        <v>10</v>
      </c>
      <c r="J33" s="18">
        <f t="shared" si="21"/>
        <v>15</v>
      </c>
      <c r="K33" s="24">
        <f t="shared" si="22"/>
        <v>9.5</v>
      </c>
      <c r="L33" s="18">
        <f t="shared" si="23"/>
        <v>10</v>
      </c>
      <c r="M33" s="24">
        <f t="shared" si="24"/>
        <v>10.52631579</v>
      </c>
      <c r="N33" s="25"/>
      <c r="O33" s="25"/>
      <c r="P33" s="18" t="str">
        <f t="shared" si="25"/>
        <v>구속 공격(비교 안 함)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22">
        <v>5009.0</v>
      </c>
      <c r="B34" s="18">
        <f t="array" ref="B34">INDEX(Attack!$C:$C,MATCH($A34,Attack!$A:$A,0))</f>
        <v>1003</v>
      </c>
      <c r="C34" s="18" t="str">
        <f t="array" ref="C34">INDEX(Attack!$B:$B,MATCH($A34,Attack!$A:$A,0))</f>
        <v>지게귀 지게 내리찍기</v>
      </c>
      <c r="D34" s="18">
        <f t="array" ref="D34">INDEX(UnitStat!$G:$G,MATCH($B34,UnitStat!$A:$A,0))</f>
        <v>26</v>
      </c>
      <c r="E34" s="18">
        <f t="array" ref="E34">INDEX(Attack!$F:$F,MATCH($A34,Attack!$A:$A,0))</f>
        <v>10000</v>
      </c>
      <c r="F34" s="18" t="str">
        <f t="array" ref="F34">INDEX(Attack!$M:$M,MATCH($A34,Attack!$A:$A,0))</f>
        <v>Y</v>
      </c>
      <c r="G34" s="18">
        <f t="array" ref="G34">INDEX(UnitStat!$J:$J,MATCH($B34,UnitStat!$A:$A,0))</f>
        <v>0</v>
      </c>
      <c r="H34" s="18">
        <f t="array" ref="H34">INDEX(UnitStat!$K:$K,MATCH($B34,UnitStat!$A:$A,0))</f>
        <v>15000</v>
      </c>
      <c r="I34" s="18">
        <f t="shared" si="20"/>
        <v>26</v>
      </c>
      <c r="J34" s="18">
        <f t="shared" si="21"/>
        <v>39</v>
      </c>
      <c r="K34" s="24">
        <f t="shared" si="22"/>
        <v>24.7</v>
      </c>
      <c r="L34" s="18">
        <f t="shared" si="23"/>
        <v>4</v>
      </c>
      <c r="M34" s="24">
        <f t="shared" si="24"/>
        <v>4.048582996</v>
      </c>
      <c r="N34" s="25">
        <v>4.0</v>
      </c>
      <c r="O34" s="25">
        <v>5.0</v>
      </c>
      <c r="P34" s="18" t="str">
        <f t="shared" si="25"/>
        <v>목표 안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22">
        <v>5010.0</v>
      </c>
      <c r="B35" s="18">
        <f t="array" ref="B35">INDEX(Attack!$C:$C,MATCH($A35,Attack!$A:$A,0))</f>
        <v>1003</v>
      </c>
      <c r="C35" s="18" t="str">
        <f t="array" ref="C35">INDEX(Attack!$B:$B,MATCH($A35,Attack!$A:$A,0))</f>
        <v>지게귀 돌진</v>
      </c>
      <c r="D35" s="18">
        <f t="array" ref="D35">INDEX(UnitStat!$G:$G,MATCH($B35,UnitStat!$A:$A,0))</f>
        <v>26</v>
      </c>
      <c r="E35" s="18">
        <f t="array" ref="E35">INDEX(Attack!$F:$F,MATCH($A35,Attack!$A:$A,0))</f>
        <v>12000</v>
      </c>
      <c r="F35" s="18" t="str">
        <f t="array" ref="F35">INDEX(Attack!$M:$M,MATCH($A35,Attack!$A:$A,0))</f>
        <v>Y</v>
      </c>
      <c r="G35" s="18">
        <f t="array" ref="G35">INDEX(UnitStat!$J:$J,MATCH($B35,UnitStat!$A:$A,0))</f>
        <v>0</v>
      </c>
      <c r="H35" s="18">
        <f t="array" ref="H35">INDEX(UnitStat!$K:$K,MATCH($B35,UnitStat!$A:$A,0))</f>
        <v>15000</v>
      </c>
      <c r="I35" s="18">
        <f t="shared" si="20"/>
        <v>31</v>
      </c>
      <c r="J35" s="18">
        <f t="shared" si="21"/>
        <v>46</v>
      </c>
      <c r="K35" s="24">
        <f t="shared" si="22"/>
        <v>29.45</v>
      </c>
      <c r="L35" s="18">
        <f t="shared" si="23"/>
        <v>4</v>
      </c>
      <c r="M35" s="24">
        <f t="shared" si="24"/>
        <v>3.395585739</v>
      </c>
      <c r="N35" s="25">
        <v>4.0</v>
      </c>
      <c r="O35" s="25">
        <v>5.0</v>
      </c>
      <c r="P35" s="18" t="str">
        <f t="shared" si="25"/>
        <v>목표 안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22">
        <v>5012.0</v>
      </c>
      <c r="B36" s="18">
        <f t="array" ref="B36">INDEX(Attack!$C:$C,MATCH($A36,Attack!$A:$A,0))</f>
        <v>1005</v>
      </c>
      <c r="C36" s="18" t="str">
        <f t="array" ref="C36">INDEX(Attack!$B:$B,MATCH($A36,Attack!$A:$A,0))</f>
        <v>짐 투척</v>
      </c>
      <c r="D36" s="18">
        <f t="array" ref="D36">INDEX(UnitStat!$G:$G,MATCH($B36,UnitStat!$A:$A,0))</f>
        <v>32</v>
      </c>
      <c r="E36" s="18">
        <f t="array" ref="E36">INDEX(Attack!$F:$F,MATCH($A36,Attack!$A:$A,0))</f>
        <v>9000</v>
      </c>
      <c r="F36" s="18" t="str">
        <f t="array" ref="F36">INDEX(Attack!$M:$M,MATCH($A36,Attack!$A:$A,0))</f>
        <v>Y</v>
      </c>
      <c r="G36" s="18">
        <f t="array" ref="G36">INDEX(UnitStat!$J:$J,MATCH($B36,UnitStat!$A:$A,0))</f>
        <v>0</v>
      </c>
      <c r="H36" s="18">
        <f t="array" ref="H36">INDEX(UnitStat!$K:$K,MATCH($B36,UnitStat!$A:$A,0))</f>
        <v>15000</v>
      </c>
      <c r="I36" s="18">
        <f t="shared" si="20"/>
        <v>28</v>
      </c>
      <c r="J36" s="18">
        <f t="shared" si="21"/>
        <v>43</v>
      </c>
      <c r="K36" s="24">
        <f t="shared" si="22"/>
        <v>26.6</v>
      </c>
      <c r="L36" s="18">
        <f t="shared" si="23"/>
        <v>4</v>
      </c>
      <c r="M36" s="24">
        <f t="shared" si="24"/>
        <v>3.759398496</v>
      </c>
      <c r="N36" s="25">
        <v>4.0</v>
      </c>
      <c r="O36" s="25">
        <v>5.0</v>
      </c>
      <c r="P36" s="18" t="str">
        <f t="shared" si="25"/>
        <v>목표 안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22">
        <v>5013.0</v>
      </c>
      <c r="B37" s="18">
        <f t="array" ref="B37">INDEX(Attack!$C:$C,MATCH($A37,Attack!$A:$A,0))</f>
        <v>1006</v>
      </c>
      <c r="C37" s="18" t="str">
        <f t="array" ref="C37">INDEX(Attack!$B:$B,MATCH($A37,Attack!$A:$A,0))</f>
        <v>쇄문아비 문짝 내리찍기</v>
      </c>
      <c r="D37" s="18">
        <f t="array" ref="D37">INDEX(UnitStat!$G:$G,MATCH($B37,UnitStat!$A:$A,0))</f>
        <v>28</v>
      </c>
      <c r="E37" s="18">
        <f t="array" ref="E37">INDEX(Attack!$F:$F,MATCH($A37,Attack!$A:$A,0))</f>
        <v>12000</v>
      </c>
      <c r="F37" s="18" t="str">
        <f t="array" ref="F37">INDEX(Attack!$M:$M,MATCH($A37,Attack!$A:$A,0))</f>
        <v>Y</v>
      </c>
      <c r="G37" s="18">
        <f t="array" ref="G37">INDEX(UnitStat!$J:$J,MATCH($B37,UnitStat!$A:$A,0))</f>
        <v>500</v>
      </c>
      <c r="H37" s="18">
        <f t="array" ref="H37">INDEX(UnitStat!$K:$K,MATCH($B37,UnitStat!$A:$A,0))</f>
        <v>15000</v>
      </c>
      <c r="I37" s="18">
        <f t="shared" si="20"/>
        <v>33</v>
      </c>
      <c r="J37" s="18">
        <f t="shared" si="21"/>
        <v>50</v>
      </c>
      <c r="K37" s="24">
        <f t="shared" si="22"/>
        <v>32.1575</v>
      </c>
      <c r="L37" s="18">
        <f t="shared" si="23"/>
        <v>4</v>
      </c>
      <c r="M37" s="24">
        <f t="shared" si="24"/>
        <v>3.109694473</v>
      </c>
      <c r="N37" s="25">
        <v>3.0</v>
      </c>
      <c r="O37" s="25">
        <v>4.0</v>
      </c>
      <c r="P37" s="18" t="str">
        <f t="shared" si="25"/>
        <v>목표 안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22">
        <v>5014.0</v>
      </c>
      <c r="B38" s="18">
        <f t="array" ref="B38">INDEX(Attack!$C:$C,MATCH($A38,Attack!$A:$A,0))</f>
        <v>1006</v>
      </c>
      <c r="C38" s="18" t="str">
        <f t="array" ref="C38">INDEX(Attack!$B:$B,MATCH($A38,Attack!$A:$A,0))</f>
        <v>쇄문아비 빗장 휘두르기</v>
      </c>
      <c r="D38" s="18">
        <f t="array" ref="D38">INDEX(UnitStat!$G:$G,MATCH($B38,UnitStat!$A:$A,0))</f>
        <v>28</v>
      </c>
      <c r="E38" s="18">
        <f t="array" ref="E38">INDEX(Attack!$F:$F,MATCH($A38,Attack!$A:$A,0))</f>
        <v>10000</v>
      </c>
      <c r="F38" s="18" t="str">
        <f t="array" ref="F38">INDEX(Attack!$M:$M,MATCH($A38,Attack!$A:$A,0))</f>
        <v>Y</v>
      </c>
      <c r="G38" s="18">
        <f t="array" ref="G38">INDEX(UnitStat!$J:$J,MATCH($B38,UnitStat!$A:$A,0))</f>
        <v>500</v>
      </c>
      <c r="H38" s="18">
        <f t="array" ref="H38">INDEX(UnitStat!$K:$K,MATCH($B38,UnitStat!$A:$A,0))</f>
        <v>15000</v>
      </c>
      <c r="I38" s="18">
        <f t="shared" si="20"/>
        <v>28</v>
      </c>
      <c r="J38" s="18">
        <f t="shared" si="21"/>
        <v>42</v>
      </c>
      <c r="K38" s="24">
        <f t="shared" si="22"/>
        <v>27.265</v>
      </c>
      <c r="L38" s="18">
        <f t="shared" si="23"/>
        <v>4</v>
      </c>
      <c r="M38" s="24">
        <f t="shared" si="24"/>
        <v>3.66770585</v>
      </c>
      <c r="N38" s="25">
        <v>3.0</v>
      </c>
      <c r="O38" s="25">
        <v>4.0</v>
      </c>
      <c r="P38" s="18" t="str">
        <f t="shared" si="25"/>
        <v>목표 안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22">
        <v>5015.0</v>
      </c>
      <c r="B39" s="18">
        <f t="array" ref="B39">INDEX(Attack!$C:$C,MATCH($A39,Attack!$A:$A,0))</f>
        <v>1006</v>
      </c>
      <c r="C39" s="18" t="str">
        <f t="array" ref="C39">INDEX(Attack!$B:$B,MATCH($A39,Attack!$A:$A,0))</f>
        <v>쇄문아비 사슬 당기기</v>
      </c>
      <c r="D39" s="18">
        <f t="array" ref="D39">INDEX(UnitStat!$G:$G,MATCH($B39,UnitStat!$A:$A,0))</f>
        <v>28</v>
      </c>
      <c r="E39" s="18">
        <f t="array" ref="E39">INDEX(Attack!$F:$F,MATCH($A39,Attack!$A:$A,0))</f>
        <v>8000</v>
      </c>
      <c r="F39" s="18" t="str">
        <f t="array" ref="F39">INDEX(Attack!$M:$M,MATCH($A39,Attack!$A:$A,0))</f>
        <v>Y</v>
      </c>
      <c r="G39" s="18">
        <f t="array" ref="G39">INDEX(UnitStat!$J:$J,MATCH($B39,UnitStat!$A:$A,0))</f>
        <v>500</v>
      </c>
      <c r="H39" s="18">
        <f t="array" ref="H39">INDEX(UnitStat!$K:$K,MATCH($B39,UnitStat!$A:$A,0))</f>
        <v>15000</v>
      </c>
      <c r="I39" s="18">
        <f t="shared" si="20"/>
        <v>22</v>
      </c>
      <c r="J39" s="18">
        <f t="shared" si="21"/>
        <v>33</v>
      </c>
      <c r="K39" s="24">
        <f t="shared" si="22"/>
        <v>21.4225</v>
      </c>
      <c r="L39" s="18">
        <f t="shared" si="23"/>
        <v>5</v>
      </c>
      <c r="M39" s="24">
        <f t="shared" si="24"/>
        <v>4.667989264</v>
      </c>
      <c r="N39" s="25"/>
      <c r="O39" s="25"/>
      <c r="P39" s="18" t="str">
        <f t="shared" si="25"/>
        <v>구속 공격(비교 안 함)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22">
        <v>5016.0</v>
      </c>
      <c r="B40" s="18">
        <f t="array" ref="B40">INDEX(Attack!$C:$C,MATCH($A40,Attack!$A:$A,0))</f>
        <v>1006</v>
      </c>
      <c r="C40" s="18" t="str">
        <f t="array" ref="C40">INDEX(Attack!$B:$B,MATCH($A40,Attack!$A:$A,0))</f>
        <v>쇄문아비 문 돌진</v>
      </c>
      <c r="D40" s="18">
        <f t="array" ref="D40">INDEX(UnitStat!$G:$G,MATCH($B40,UnitStat!$A:$A,0))</f>
        <v>28</v>
      </c>
      <c r="E40" s="18">
        <f t="array" ref="E40">INDEX(Attack!$F:$F,MATCH($A40,Attack!$A:$A,0))</f>
        <v>15000</v>
      </c>
      <c r="F40" s="18" t="str">
        <f t="array" ref="F40">INDEX(Attack!$M:$M,MATCH($A40,Attack!$A:$A,0))</f>
        <v>Y</v>
      </c>
      <c r="G40" s="18">
        <f t="array" ref="G40">INDEX(UnitStat!$J:$J,MATCH($B40,UnitStat!$A:$A,0))</f>
        <v>500</v>
      </c>
      <c r="H40" s="18">
        <f t="array" ref="H40">INDEX(UnitStat!$K:$K,MATCH($B40,UnitStat!$A:$A,0))</f>
        <v>15000</v>
      </c>
      <c r="I40" s="18">
        <f t="shared" si="20"/>
        <v>42</v>
      </c>
      <c r="J40" s="18">
        <f t="shared" si="21"/>
        <v>63</v>
      </c>
      <c r="K40" s="24">
        <f t="shared" si="22"/>
        <v>40.8975</v>
      </c>
      <c r="L40" s="18">
        <f t="shared" si="23"/>
        <v>3</v>
      </c>
      <c r="M40" s="24">
        <f t="shared" si="24"/>
        <v>2.445137233</v>
      </c>
      <c r="N40" s="25">
        <v>3.0</v>
      </c>
      <c r="O40" s="25">
        <v>4.0</v>
      </c>
      <c r="P40" s="18" t="str">
        <f t="shared" si="25"/>
        <v>목표 안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9" t="s">
        <v>575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20" t="s">
        <v>576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26" t="s">
        <v>577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21" t="s">
        <v>578</v>
      </c>
      <c r="B45" s="27" t="str">
        <f>$B$23</f>
        <v>허수귀</v>
      </c>
      <c r="C45" s="27" t="str">
        <f>$B$24</f>
        <v>지게귀</v>
      </c>
      <c r="D45" s="27" t="str">
        <f>$B$25</f>
        <v>불붙은 허수귀</v>
      </c>
      <c r="E45" s="27" t="str">
        <f>$B$26</f>
        <v>짐 던지는 지게귀</v>
      </c>
      <c r="F45" s="27" t="str">
        <f>$B$27</f>
        <v>쇄문아비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28">
        <v>0.0</v>
      </c>
      <c r="B46" s="24">
        <f t="shared" ref="B46:F46" si="26">LET(t,MATCH(B$45,$B$23:$B$27,0),INDEX($C$23:$C$27,t)/((1-$A46/10000)*((1-$E$8/10000)*INDEX($I$23:$I$27,t)+$E$8/10000*INDEX($J$23:$J$27,t))))</f>
        <v>3.333333333</v>
      </c>
      <c r="C46" s="24">
        <f t="shared" si="26"/>
        <v>5.263157895</v>
      </c>
      <c r="D46" s="24">
        <f t="shared" si="26"/>
        <v>6.914893617</v>
      </c>
      <c r="E46" s="24">
        <f t="shared" si="26"/>
        <v>6.914893617</v>
      </c>
      <c r="F46" s="24">
        <f t="shared" si="26"/>
        <v>44.68085106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8">
        <f t="shared" ref="A47:A56" si="28">A46+500</f>
        <v>500</v>
      </c>
      <c r="B47" s="24">
        <f t="shared" ref="B47:F47" si="27">LET(t,MATCH(B$45,$B$23:$B$27,0),INDEX($C$23:$C$27,t)/((1-$A47/10000)*((1-$E$8/10000)*INDEX($I$23:$I$27,t)+$E$8/10000*INDEX($J$23:$J$27,t))))</f>
        <v>3.50877193</v>
      </c>
      <c r="C47" s="24">
        <f t="shared" si="27"/>
        <v>5.540166205</v>
      </c>
      <c r="D47" s="24">
        <f t="shared" si="27"/>
        <v>7.278835386</v>
      </c>
      <c r="E47" s="24">
        <f t="shared" si="27"/>
        <v>7.278835386</v>
      </c>
      <c r="F47" s="24">
        <f t="shared" si="27"/>
        <v>47.0324748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8">
        <f t="shared" si="28"/>
        <v>1000</v>
      </c>
      <c r="B48" s="24">
        <f t="shared" ref="B48:F48" si="29">LET(t,MATCH(B$45,$B$23:$B$27,0),INDEX($C$23:$C$27,t)/((1-$A48/10000)*((1-$E$8/10000)*INDEX($I$23:$I$27,t)+$E$8/10000*INDEX($J$23:$J$27,t))))</f>
        <v>3.703703704</v>
      </c>
      <c r="C48" s="24">
        <f t="shared" si="29"/>
        <v>5.847953216</v>
      </c>
      <c r="D48" s="24">
        <f t="shared" si="29"/>
        <v>7.68321513</v>
      </c>
      <c r="E48" s="24">
        <f t="shared" si="29"/>
        <v>7.68321513</v>
      </c>
      <c r="F48" s="24">
        <f t="shared" si="29"/>
        <v>49.64539007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8">
        <f t="shared" si="28"/>
        <v>1500</v>
      </c>
      <c r="B49" s="24">
        <f t="shared" ref="B49:F49" si="30">LET(t,MATCH(B$45,$B$23:$B$27,0),INDEX($C$23:$C$27,t)/((1-$A49/10000)*((1-$E$8/10000)*INDEX($I$23:$I$27,t)+$E$8/10000*INDEX($J$23:$J$27,t))))</f>
        <v>3.921568627</v>
      </c>
      <c r="C49" s="24">
        <f t="shared" si="30"/>
        <v>6.191950464</v>
      </c>
      <c r="D49" s="24">
        <f t="shared" si="30"/>
        <v>8.135168961</v>
      </c>
      <c r="E49" s="24">
        <f t="shared" si="30"/>
        <v>8.135168961</v>
      </c>
      <c r="F49" s="24">
        <f t="shared" si="30"/>
        <v>52.56570713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8">
        <f t="shared" si="28"/>
        <v>2000</v>
      </c>
      <c r="B50" s="24">
        <f t="shared" ref="B50:F50" si="31">LET(t,MATCH(B$45,$B$23:$B$27,0),INDEX($C$23:$C$27,t)/((1-$A50/10000)*((1-$E$8/10000)*INDEX($I$23:$I$27,t)+$E$8/10000*INDEX($J$23:$J$27,t))))</f>
        <v>4.166666667</v>
      </c>
      <c r="C50" s="24">
        <f t="shared" si="31"/>
        <v>6.578947368</v>
      </c>
      <c r="D50" s="24">
        <f t="shared" si="31"/>
        <v>8.643617021</v>
      </c>
      <c r="E50" s="24">
        <f t="shared" si="31"/>
        <v>8.643617021</v>
      </c>
      <c r="F50" s="24">
        <f t="shared" si="31"/>
        <v>55.85106383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8">
        <f t="shared" si="28"/>
        <v>2500</v>
      </c>
      <c r="B51" s="24">
        <f t="shared" ref="B51:F51" si="32">LET(t,MATCH(B$45,$B$23:$B$27,0),INDEX($C$23:$C$27,t)/((1-$A51/10000)*((1-$E$8/10000)*INDEX($I$23:$I$27,t)+$E$8/10000*INDEX($J$23:$J$27,t))))</f>
        <v>4.444444444</v>
      </c>
      <c r="C51" s="24">
        <f t="shared" si="32"/>
        <v>7.01754386</v>
      </c>
      <c r="D51" s="24">
        <f t="shared" si="32"/>
        <v>9.219858156</v>
      </c>
      <c r="E51" s="24">
        <f t="shared" si="32"/>
        <v>9.219858156</v>
      </c>
      <c r="F51" s="24">
        <f t="shared" si="32"/>
        <v>59.57446809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8">
        <f t="shared" si="28"/>
        <v>3000</v>
      </c>
      <c r="B52" s="24">
        <f t="shared" ref="B52:F52" si="33">LET(t,MATCH(B$45,$B$23:$B$27,0),INDEX($C$23:$C$27,t)/((1-$A52/10000)*((1-$E$8/10000)*INDEX($I$23:$I$27,t)+$E$8/10000*INDEX($J$23:$J$27,t))))</f>
        <v>4.761904762</v>
      </c>
      <c r="C52" s="24">
        <f t="shared" si="33"/>
        <v>7.518796992</v>
      </c>
      <c r="D52" s="24">
        <f t="shared" si="33"/>
        <v>9.878419453</v>
      </c>
      <c r="E52" s="24">
        <f t="shared" si="33"/>
        <v>9.878419453</v>
      </c>
      <c r="F52" s="24">
        <f t="shared" si="33"/>
        <v>63.82978723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8">
        <f t="shared" si="28"/>
        <v>3500</v>
      </c>
      <c r="B53" s="24">
        <f t="shared" ref="B53:F53" si="34">LET(t,MATCH(B$45,$B$23:$B$27,0),INDEX($C$23:$C$27,t)/((1-$A53/10000)*((1-$E$8/10000)*INDEX($I$23:$I$27,t)+$E$8/10000*INDEX($J$23:$J$27,t))))</f>
        <v>5.128205128</v>
      </c>
      <c r="C53" s="24">
        <f t="shared" si="34"/>
        <v>8.097165992</v>
      </c>
      <c r="D53" s="24">
        <f t="shared" si="34"/>
        <v>10.63829787</v>
      </c>
      <c r="E53" s="24">
        <f t="shared" si="34"/>
        <v>10.63829787</v>
      </c>
      <c r="F53" s="24">
        <f t="shared" si="34"/>
        <v>68.73977087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8">
        <f t="shared" si="28"/>
        <v>4000</v>
      </c>
      <c r="B54" s="24">
        <f t="shared" ref="B54:F54" si="35">LET(t,MATCH(B$45,$B$23:$B$27,0),INDEX($C$23:$C$27,t)/((1-$A54/10000)*((1-$E$8/10000)*INDEX($I$23:$I$27,t)+$E$8/10000*INDEX($J$23:$J$27,t))))</f>
        <v>5.555555556</v>
      </c>
      <c r="C54" s="24">
        <f t="shared" si="35"/>
        <v>8.771929825</v>
      </c>
      <c r="D54" s="24">
        <f t="shared" si="35"/>
        <v>11.5248227</v>
      </c>
      <c r="E54" s="24">
        <f t="shared" si="35"/>
        <v>11.5248227</v>
      </c>
      <c r="F54" s="24">
        <f t="shared" si="35"/>
        <v>74.46808511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8">
        <f t="shared" si="28"/>
        <v>4500</v>
      </c>
      <c r="B55" s="24">
        <f t="shared" ref="B55:F55" si="36">LET(t,MATCH(B$45,$B$23:$B$27,0),INDEX($C$23:$C$27,t)/((1-$A55/10000)*((1-$E$8/10000)*INDEX($I$23:$I$27,t)+$E$8/10000*INDEX($J$23:$J$27,t))))</f>
        <v>6.060606061</v>
      </c>
      <c r="C55" s="24">
        <f t="shared" si="36"/>
        <v>9.56937799</v>
      </c>
      <c r="D55" s="24">
        <f t="shared" si="36"/>
        <v>12.57253385</v>
      </c>
      <c r="E55" s="24">
        <f t="shared" si="36"/>
        <v>12.57253385</v>
      </c>
      <c r="F55" s="24">
        <f t="shared" si="36"/>
        <v>81.23791103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8">
        <f t="shared" si="28"/>
        <v>5000</v>
      </c>
      <c r="B56" s="24">
        <f t="shared" ref="B56:F56" si="37">LET(t,MATCH(B$45,$B$23:$B$27,0),INDEX($C$23:$C$27,t)/((1-$A56/10000)*((1-$E$8/10000)*INDEX($I$23:$I$27,t)+$E$8/10000*INDEX($J$23:$J$27,t))))</f>
        <v>6.666666667</v>
      </c>
      <c r="C56" s="24">
        <f t="shared" si="37"/>
        <v>10.52631579</v>
      </c>
      <c r="D56" s="24">
        <f t="shared" si="37"/>
        <v>13.82978723</v>
      </c>
      <c r="E56" s="24">
        <f t="shared" si="37"/>
        <v>13.82978723</v>
      </c>
      <c r="F56" s="24">
        <f t="shared" si="37"/>
        <v>89.36170213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26" t="s">
        <v>579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21" t="s">
        <v>580</v>
      </c>
      <c r="B59" s="27" t="str">
        <f>$B$23</f>
        <v>허수귀</v>
      </c>
      <c r="C59" s="27" t="str">
        <f>$B$24</f>
        <v>지게귀</v>
      </c>
      <c r="D59" s="27" t="str">
        <f>$B$25</f>
        <v>불붙은 허수귀</v>
      </c>
      <c r="E59" s="27" t="str">
        <f>$B$26</f>
        <v>짐 던지는 지게귀</v>
      </c>
      <c r="F59" s="27" t="str">
        <f>$B$27</f>
        <v>쇄문아비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28">
        <v>0.0</v>
      </c>
      <c r="B60" s="24">
        <f t="shared" ref="B60:F60" si="38">LET(t,MATCH(B$59,$B$23:$B$27,0),INDEX($C$23:$C$27,t)/((1-INDEX($G$23:$G$27,t)/10000)*((1-$A60/10000)*INDEX($I$23:$I$27,t)+$A60/10000*INDEX($J$23:$J$27,t))))</f>
        <v>3.608247423</v>
      </c>
      <c r="C60" s="24">
        <f t="shared" si="38"/>
        <v>5.787037037</v>
      </c>
      <c r="D60" s="24">
        <f t="shared" si="38"/>
        <v>7.602339181</v>
      </c>
      <c r="E60" s="24">
        <f t="shared" si="38"/>
        <v>7.602339181</v>
      </c>
      <c r="F60" s="24">
        <f t="shared" si="38"/>
        <v>48.10996564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8">
        <f t="shared" ref="A61:A70" si="40">A60+500</f>
        <v>500</v>
      </c>
      <c r="B61" s="24">
        <f t="shared" ref="B61:F61" si="39">LET(t,MATCH(B$59,$B$23:$B$27,0),INDEX($C$23:$C$27,t)/((1-INDEX($G$23:$G$27,t)/10000)*((1-$A61/10000)*INDEX($I$23:$I$27,t)+$A61/10000*INDEX($J$23:$J$27,t))))</f>
        <v>3.520241388</v>
      </c>
      <c r="C61" s="24">
        <f t="shared" si="39"/>
        <v>5.630630631</v>
      </c>
      <c r="D61" s="24">
        <f t="shared" si="39"/>
        <v>7.437070938</v>
      </c>
      <c r="E61" s="24">
        <f t="shared" si="39"/>
        <v>7.437070938</v>
      </c>
      <c r="F61" s="24">
        <f t="shared" si="39"/>
        <v>47.06409682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8">
        <f t="shared" si="40"/>
        <v>1000</v>
      </c>
      <c r="B62" s="24">
        <f t="shared" ref="B62:F62" si="41">LET(t,MATCH(B$59,$B$23:$B$27,0),INDEX($C$23:$C$27,t)/((1-INDEX($G$23:$G$27,t)/10000)*((1-$A62/10000)*INDEX($I$23:$I$27,t)+$A62/10000*INDEX($J$23:$J$27,t))))</f>
        <v>3.436426117</v>
      </c>
      <c r="C62" s="24">
        <f t="shared" si="41"/>
        <v>5.48245614</v>
      </c>
      <c r="D62" s="24">
        <f t="shared" si="41"/>
        <v>7.278835386</v>
      </c>
      <c r="E62" s="24">
        <f t="shared" si="41"/>
        <v>7.278835386</v>
      </c>
      <c r="F62" s="24">
        <f t="shared" si="41"/>
        <v>46.06273306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8">
        <f t="shared" si="40"/>
        <v>1500</v>
      </c>
      <c r="B63" s="24">
        <f t="shared" ref="B63:F63" si="42">LET(t,MATCH(B$59,$B$23:$B$27,0),INDEX($C$23:$C$27,t)/((1-INDEX($G$23:$G$27,t)/10000)*((1-$A63/10000)*INDEX($I$23:$I$27,t)+$A63/10000*INDEX($J$23:$J$27,t))))</f>
        <v>3.35650923</v>
      </c>
      <c r="C63" s="24">
        <f t="shared" si="42"/>
        <v>5.341880342</v>
      </c>
      <c r="D63" s="24">
        <f t="shared" si="42"/>
        <v>7.127192982</v>
      </c>
      <c r="E63" s="24">
        <f t="shared" si="42"/>
        <v>7.127192982</v>
      </c>
      <c r="F63" s="24">
        <f t="shared" si="42"/>
        <v>45.10309278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8">
        <f t="shared" si="40"/>
        <v>2000</v>
      </c>
      <c r="B64" s="24">
        <f t="shared" ref="B64:F64" si="43">LET(t,MATCH(B$59,$B$23:$B$27,0),INDEX($C$23:$C$27,t)/((1-INDEX($G$23:$G$27,t)/10000)*((1-$A64/10000)*INDEX($I$23:$I$27,t)+$A64/10000*INDEX($J$23:$J$27,t))))</f>
        <v>3.28022493</v>
      </c>
      <c r="C64" s="24">
        <f t="shared" si="43"/>
        <v>5.208333333</v>
      </c>
      <c r="D64" s="24">
        <f t="shared" si="43"/>
        <v>6.981740064</v>
      </c>
      <c r="E64" s="24">
        <f t="shared" si="43"/>
        <v>6.981740064</v>
      </c>
      <c r="F64" s="24">
        <f t="shared" si="43"/>
        <v>44.1826215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8">
        <f t="shared" si="40"/>
        <v>2500</v>
      </c>
      <c r="B65" s="24">
        <f t="shared" ref="B65:F65" si="44">LET(t,MATCH(B$59,$B$23:$B$27,0),INDEX($C$23:$C$27,t)/((1-INDEX($G$23:$G$27,t)/10000)*((1-$A65/10000)*INDEX($I$23:$I$27,t)+$A65/10000*INDEX($J$23:$J$27,t))))</f>
        <v>3.207331042</v>
      </c>
      <c r="C65" s="24">
        <f t="shared" si="44"/>
        <v>5.081300813</v>
      </c>
      <c r="D65" s="24">
        <f t="shared" si="44"/>
        <v>6.842105263</v>
      </c>
      <c r="E65" s="24">
        <f t="shared" si="44"/>
        <v>6.842105263</v>
      </c>
      <c r="F65" s="24">
        <f t="shared" si="44"/>
        <v>43.29896907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8">
        <f t="shared" si="40"/>
        <v>3000</v>
      </c>
      <c r="B66" s="24">
        <f t="shared" ref="B66:F66" si="45">LET(t,MATCH(B$59,$B$23:$B$27,0),INDEX($C$23:$C$27,t)/((1-INDEX($G$23:$G$27,t)/10000)*((1-$A66/10000)*INDEX($I$23:$I$27,t)+$A66/10000*INDEX($J$23:$J$27,t))))</f>
        <v>3.137606455</v>
      </c>
      <c r="C66" s="24">
        <f t="shared" si="45"/>
        <v>4.96031746</v>
      </c>
      <c r="D66" s="24">
        <f t="shared" si="45"/>
        <v>6.707946336</v>
      </c>
      <c r="E66" s="24">
        <f t="shared" si="45"/>
        <v>6.707946336</v>
      </c>
      <c r="F66" s="24">
        <f t="shared" si="45"/>
        <v>42.44996968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8">
        <f t="shared" si="40"/>
        <v>3500</v>
      </c>
      <c r="B67" s="24">
        <f t="shared" ref="B67:F67" si="46">LET(t,MATCH(B$59,$B$23:$B$27,0),INDEX($C$23:$C$27,t)/((1-INDEX($G$23:$G$27,t)/10000)*((1-$A67/10000)*INDEX($I$23:$I$27,t)+$A67/10000*INDEX($J$23:$J$27,t))))</f>
        <v>3.07084887</v>
      </c>
      <c r="C67" s="24">
        <f t="shared" si="46"/>
        <v>4.84496124</v>
      </c>
      <c r="D67" s="24">
        <f t="shared" si="46"/>
        <v>6.578947368</v>
      </c>
      <c r="E67" s="24">
        <f t="shared" si="46"/>
        <v>6.578947368</v>
      </c>
      <c r="F67" s="24">
        <f t="shared" si="46"/>
        <v>41.63362411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8">
        <f t="shared" si="40"/>
        <v>4000</v>
      </c>
      <c r="B68" s="24">
        <f t="shared" ref="B68:F68" si="47">LET(t,MATCH(B$59,$B$23:$B$27,0),INDEX($C$23:$C$27,t)/((1-INDEX($G$23:$G$27,t)/10000)*((1-$A68/10000)*INDEX($I$23:$I$27,t)+$A68/10000*INDEX($J$23:$J$27,t))))</f>
        <v>3.006872852</v>
      </c>
      <c r="C68" s="24">
        <f t="shared" si="47"/>
        <v>4.734848485</v>
      </c>
      <c r="D68" s="24">
        <f t="shared" si="47"/>
        <v>6.454816286</v>
      </c>
      <c r="E68" s="24">
        <f t="shared" si="47"/>
        <v>6.454816286</v>
      </c>
      <c r="F68" s="24">
        <f t="shared" si="47"/>
        <v>40.84808403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8">
        <f t="shared" si="40"/>
        <v>4500</v>
      </c>
      <c r="B69" s="24">
        <f t="shared" ref="B69:F69" si="48">LET(t,MATCH(B$59,$B$23:$B$27,0),INDEX($C$23:$C$27,t)/((1-INDEX($G$23:$G$27,t)/10000)*((1-$A69/10000)*INDEX($I$23:$I$27,t)+$A69/10000*INDEX($J$23:$J$27,t))))</f>
        <v>2.9455081</v>
      </c>
      <c r="C69" s="24">
        <f t="shared" si="48"/>
        <v>4.62962963</v>
      </c>
      <c r="D69" s="24">
        <f t="shared" si="48"/>
        <v>6.335282651</v>
      </c>
      <c r="E69" s="24">
        <f t="shared" si="48"/>
        <v>6.335282651</v>
      </c>
      <c r="F69" s="24">
        <f t="shared" si="48"/>
        <v>40.09163803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8">
        <f t="shared" si="40"/>
        <v>5000</v>
      </c>
      <c r="B70" s="24">
        <f t="shared" ref="B70:F70" si="49">LET(t,MATCH(B$59,$B$23:$B$27,0),INDEX($C$23:$C$27,t)/((1-INDEX($G$23:$G$27,t)/10000)*((1-$A70/10000)*INDEX($I$23:$I$27,t)+$A70/10000*INDEX($J$23:$J$27,t))))</f>
        <v>2.886597938</v>
      </c>
      <c r="C70" s="24">
        <f t="shared" si="49"/>
        <v>4.528985507</v>
      </c>
      <c r="D70" s="24">
        <f t="shared" si="49"/>
        <v>6.220095694</v>
      </c>
      <c r="E70" s="24">
        <f t="shared" si="49"/>
        <v>6.220095694</v>
      </c>
      <c r="F70" s="24">
        <f t="shared" si="49"/>
        <v>39.36269916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26" t="s">
        <v>581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21" t="s">
        <v>582</v>
      </c>
      <c r="B73" s="27" t="str">
        <f>$A$32&amp;" "&amp;$C$32</f>
        <v>5007 허수귀 팔 휘두르기</v>
      </c>
      <c r="C73" s="27" t="str">
        <f>$A$35&amp;" "&amp;$C$35</f>
        <v>5010 지게귀 돌진</v>
      </c>
      <c r="D73" s="27" t="str">
        <f>$A$37&amp;" "&amp;$C$37</f>
        <v>5013 쇄문아비 문짝 내리찍기</v>
      </c>
      <c r="E73" s="27" t="str">
        <f>$A$40&amp;" "&amp;$C$40</f>
        <v>5016 쇄문아비 문 돌진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28">
        <v>0.0</v>
      </c>
      <c r="B74" s="24">
        <f t="shared" ref="B74:E74" si="50">LET(t,MATCH(VALUE(LEFT(B$73,4)),$A$32:$A$40,0),$E$10/((1-IF(INDEX($F$32:$F$40,t)="Y",$A74,0)/10000)*((1-INDEX($G$32:$G$40,t)/10000)*INDEX($I$32:$I$40,t)+INDEX($G$32:$G$40,t)/10000*INDEX($J$32:$J$40,t))))</f>
        <v>5</v>
      </c>
      <c r="C74" s="24">
        <f t="shared" si="50"/>
        <v>3.225806452</v>
      </c>
      <c r="D74" s="24">
        <f t="shared" si="50"/>
        <v>2.954209749</v>
      </c>
      <c r="E74" s="24">
        <f t="shared" si="50"/>
        <v>2.322880372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8">
        <f t="shared" ref="A75:A84" si="52">A74+500</f>
        <v>500</v>
      </c>
      <c r="B75" s="24">
        <f t="shared" ref="B75:E75" si="51">LET(t,MATCH(VALUE(LEFT(B$73,4)),$A$32:$A$40,0),$E$10/((1-IF(INDEX($F$32:$F$40,t)="Y",$A75,0)/10000)*((1-INDEX($G$32:$G$40,t)/10000)*INDEX($I$32:$I$40,t)+INDEX($G$32:$G$40,t)/10000*INDEX($J$32:$J$40,t))))</f>
        <v>5.263157895</v>
      </c>
      <c r="C75" s="24">
        <f t="shared" si="51"/>
        <v>3.395585739</v>
      </c>
      <c r="D75" s="24">
        <f t="shared" si="51"/>
        <v>3.109694473</v>
      </c>
      <c r="E75" s="24">
        <f t="shared" si="51"/>
        <v>2.445137233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8">
        <f t="shared" si="52"/>
        <v>1000</v>
      </c>
      <c r="B76" s="24">
        <f t="shared" ref="B76:E76" si="53">LET(t,MATCH(VALUE(LEFT(B$73,4)),$A$32:$A$40,0),$E$10/((1-IF(INDEX($F$32:$F$40,t)="Y",$A76,0)/10000)*((1-INDEX($G$32:$G$40,t)/10000)*INDEX($I$32:$I$40,t)+INDEX($G$32:$G$40,t)/10000*INDEX($J$32:$J$40,t))))</f>
        <v>5.555555556</v>
      </c>
      <c r="C76" s="24">
        <f t="shared" si="53"/>
        <v>3.584229391</v>
      </c>
      <c r="D76" s="24">
        <f t="shared" si="53"/>
        <v>3.282455277</v>
      </c>
      <c r="E76" s="24">
        <f t="shared" si="53"/>
        <v>2.580978191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8">
        <f t="shared" si="52"/>
        <v>1500</v>
      </c>
      <c r="B77" s="24">
        <f t="shared" ref="B77:E77" si="54">LET(t,MATCH(VALUE(LEFT(B$73,4)),$A$32:$A$40,0),$E$10/((1-IF(INDEX($F$32:$F$40,t)="Y",$A77,0)/10000)*((1-INDEX($G$32:$G$40,t)/10000)*INDEX($I$32:$I$40,t)+INDEX($G$32:$G$40,t)/10000*INDEX($J$32:$J$40,t))))</f>
        <v>5.882352941</v>
      </c>
      <c r="C77" s="24">
        <f t="shared" si="54"/>
        <v>3.795066414</v>
      </c>
      <c r="D77" s="24">
        <f t="shared" si="54"/>
        <v>3.475540881</v>
      </c>
      <c r="E77" s="24">
        <f t="shared" si="54"/>
        <v>2.732800437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8">
        <f t="shared" si="52"/>
        <v>2000</v>
      </c>
      <c r="B78" s="24">
        <f t="shared" ref="B78:E78" si="55">LET(t,MATCH(VALUE(LEFT(B$73,4)),$A$32:$A$40,0),$E$10/((1-IF(INDEX($F$32:$F$40,t)="Y",$A78,0)/10000)*((1-INDEX($G$32:$G$40,t)/10000)*INDEX($I$32:$I$40,t)+INDEX($G$32:$G$40,t)/10000*INDEX($J$32:$J$40,t))))</f>
        <v>6.25</v>
      </c>
      <c r="C78" s="24">
        <f t="shared" si="55"/>
        <v>4.032258065</v>
      </c>
      <c r="D78" s="24">
        <f t="shared" si="55"/>
        <v>3.692762186</v>
      </c>
      <c r="E78" s="24">
        <f t="shared" si="55"/>
        <v>2.903600465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18">
        <f t="shared" si="52"/>
        <v>2500</v>
      </c>
      <c r="B79" s="24">
        <f t="shared" ref="B79:E79" si="56">LET(t,MATCH(VALUE(LEFT(B$73,4)),$A$32:$A$40,0),$E$10/((1-IF(INDEX($F$32:$F$40,t)="Y",$A79,0)/10000)*((1-INDEX($G$32:$G$40,t)/10000)*INDEX($I$32:$I$40,t)+INDEX($G$32:$G$40,t)/10000*INDEX($J$32:$J$40,t))))</f>
        <v>6.666666667</v>
      </c>
      <c r="C79" s="24">
        <f t="shared" si="56"/>
        <v>4.301075269</v>
      </c>
      <c r="D79" s="24">
        <f t="shared" si="56"/>
        <v>3.938946332</v>
      </c>
      <c r="E79" s="24">
        <f t="shared" si="56"/>
        <v>3.097173829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18">
        <f t="shared" si="52"/>
        <v>3000</v>
      </c>
      <c r="B80" s="24">
        <f t="shared" ref="B80:E80" si="57">LET(t,MATCH(VALUE(LEFT(B$73,4)),$A$32:$A$40,0),$E$10/((1-IF(INDEX($F$32:$F$40,t)="Y",$A80,0)/10000)*((1-INDEX($G$32:$G$40,t)/10000)*INDEX($I$32:$I$40,t)+INDEX($G$32:$G$40,t)/10000*INDEX($J$32:$J$40,t))))</f>
        <v>7.142857143</v>
      </c>
      <c r="C80" s="24">
        <f t="shared" si="57"/>
        <v>4.608294931</v>
      </c>
      <c r="D80" s="24">
        <f t="shared" si="57"/>
        <v>4.220299641</v>
      </c>
      <c r="E80" s="24">
        <f t="shared" si="57"/>
        <v>3.318400531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18">
        <f t="shared" si="52"/>
        <v>3500</v>
      </c>
      <c r="B81" s="24">
        <f t="shared" ref="B81:E81" si="58">LET(t,MATCH(VALUE(LEFT(B$73,4)),$A$32:$A$40,0),$E$10/((1-IF(INDEX($F$32:$F$40,t)="Y",$A81,0)/10000)*((1-INDEX($G$32:$G$40,t)/10000)*INDEX($I$32:$I$40,t)+INDEX($G$32:$G$40,t)/10000*INDEX($J$32:$J$40,t))))</f>
        <v>7.692307692</v>
      </c>
      <c r="C81" s="24">
        <f t="shared" si="58"/>
        <v>4.962779156</v>
      </c>
      <c r="D81" s="24">
        <f t="shared" si="58"/>
        <v>4.544938075</v>
      </c>
      <c r="E81" s="24">
        <f t="shared" si="58"/>
        <v>3.57366211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18">
        <f t="shared" si="52"/>
        <v>4000</v>
      </c>
      <c r="B82" s="24">
        <f t="shared" ref="B82:E82" si="59">LET(t,MATCH(VALUE(LEFT(B$73,4)),$A$32:$A$40,0),$E$10/((1-IF(INDEX($F$32:$F$40,t)="Y",$A82,0)/10000)*((1-INDEX($G$32:$G$40,t)/10000)*INDEX($I$32:$I$40,t)+INDEX($G$32:$G$40,t)/10000*INDEX($J$32:$J$40,t))))</f>
        <v>8.333333333</v>
      </c>
      <c r="C82" s="24">
        <f t="shared" si="59"/>
        <v>5.376344086</v>
      </c>
      <c r="D82" s="24">
        <f t="shared" si="59"/>
        <v>4.923682915</v>
      </c>
      <c r="E82" s="24">
        <f t="shared" si="59"/>
        <v>3.871467286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18">
        <f t="shared" si="52"/>
        <v>4500</v>
      </c>
      <c r="B83" s="24">
        <f t="shared" ref="B83:E83" si="60">LET(t,MATCH(VALUE(LEFT(B$73,4)),$A$32:$A$40,0),$E$10/((1-IF(INDEX($F$32:$F$40,t)="Y",$A83,0)/10000)*((1-INDEX($G$32:$G$40,t)/10000)*INDEX($I$32:$I$40,t)+INDEX($G$32:$G$40,t)/10000*INDEX($J$32:$J$40,t))))</f>
        <v>9.090909091</v>
      </c>
      <c r="C83" s="24">
        <f t="shared" si="60"/>
        <v>5.865102639</v>
      </c>
      <c r="D83" s="24">
        <f t="shared" si="60"/>
        <v>5.371290453</v>
      </c>
      <c r="E83" s="24">
        <f t="shared" si="60"/>
        <v>4.223418858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18">
        <f t="shared" si="52"/>
        <v>5000</v>
      </c>
      <c r="B84" s="24">
        <f t="shared" ref="B84:E84" si="61">LET(t,MATCH(VALUE(LEFT(B$73,4)),$A$32:$A$40,0),$E$10/((1-IF(INDEX($F$32:$F$40,t)="Y",$A84,0)/10000)*((1-INDEX($G$32:$G$40,t)/10000)*INDEX($I$32:$I$40,t)+INDEX($G$32:$G$40,t)/10000*INDEX($J$32:$J$40,t))))</f>
        <v>10</v>
      </c>
      <c r="C84" s="24">
        <f t="shared" si="61"/>
        <v>6.451612903</v>
      </c>
      <c r="D84" s="24">
        <f t="shared" si="61"/>
        <v>5.908419498</v>
      </c>
      <c r="E84" s="24">
        <f t="shared" si="61"/>
        <v>4.645760743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20" t="s">
        <v>583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0.13"/>
    <col customWidth="1" min="2" max="2" width="7.88"/>
    <col customWidth="1" min="3" max="3" width="5.0"/>
    <col customWidth="1" min="4" max="4" width="8.63"/>
    <col customWidth="1" min="5" max="5" width="11.5"/>
    <col customWidth="1" min="6" max="6" width="10.88"/>
    <col customWidth="1" min="7" max="7" width="14.38"/>
    <col customWidth="1" min="8" max="8" width="22.25"/>
  </cols>
  <sheetData>
    <row r="1">
      <c r="A1" s="5" t="s">
        <v>4</v>
      </c>
      <c r="B1" s="5" t="s">
        <v>333</v>
      </c>
      <c r="C1" s="5"/>
      <c r="D1" s="5"/>
      <c r="E1" s="5"/>
      <c r="F1" s="5"/>
      <c r="G1" s="5"/>
      <c r="H1" s="5"/>
    </row>
    <row r="2">
      <c r="A2" s="5" t="s">
        <v>15</v>
      </c>
      <c r="B2" s="5" t="s">
        <v>334</v>
      </c>
      <c r="C2" s="5"/>
      <c r="D2" s="5"/>
      <c r="E2" s="5"/>
      <c r="F2" s="5"/>
      <c r="G2" s="5"/>
      <c r="H2" s="5"/>
    </row>
    <row r="3">
      <c r="A3" s="5" t="s">
        <v>22</v>
      </c>
      <c r="B3" s="5" t="s">
        <v>335</v>
      </c>
      <c r="C3" s="5"/>
      <c r="D3" s="5"/>
      <c r="E3" s="5"/>
      <c r="F3" s="5"/>
      <c r="G3" s="5"/>
      <c r="H3" s="5"/>
    </row>
    <row r="4">
      <c r="A4" s="5" t="s">
        <v>28</v>
      </c>
      <c r="B4" s="5" t="s">
        <v>336</v>
      </c>
      <c r="C4" s="5"/>
      <c r="D4" s="5"/>
      <c r="E4" s="5"/>
      <c r="F4" s="5"/>
      <c r="G4" s="5"/>
      <c r="H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</row>
    <row r="6">
      <c r="A6" s="9" t="s">
        <v>37</v>
      </c>
      <c r="B6" s="9" t="s">
        <v>42</v>
      </c>
      <c r="C6" s="9" t="s">
        <v>46</v>
      </c>
      <c r="D6" s="9" t="s">
        <v>337</v>
      </c>
      <c r="E6" s="9" t="s">
        <v>118</v>
      </c>
      <c r="F6" s="9" t="s">
        <v>338</v>
      </c>
      <c r="G6" s="9" t="s">
        <v>339</v>
      </c>
      <c r="H6" s="9" t="s">
        <v>121</v>
      </c>
      <c r="I6" s="9" t="s">
        <v>58</v>
      </c>
      <c r="J6" s="9" t="s">
        <v>114</v>
      </c>
    </row>
    <row r="7">
      <c r="A7" s="11">
        <v>8001.0</v>
      </c>
      <c r="B7" s="2" t="s">
        <v>340</v>
      </c>
      <c r="C7" s="11">
        <v>30011.0</v>
      </c>
      <c r="D7" s="11">
        <v>1.0</v>
      </c>
      <c r="E7" s="11">
        <v>8002.0</v>
      </c>
      <c r="F7" s="2" t="s">
        <v>341</v>
      </c>
      <c r="G7" s="2" t="s">
        <v>342</v>
      </c>
      <c r="H7" s="2" t="s">
        <v>163</v>
      </c>
      <c r="I7" s="2" t="s">
        <v>70</v>
      </c>
      <c r="J7" s="2" t="s">
        <v>343</v>
      </c>
    </row>
    <row r="8">
      <c r="A8" s="11">
        <v>8002.0</v>
      </c>
      <c r="B8" s="2" t="s">
        <v>344</v>
      </c>
      <c r="C8" s="11">
        <v>30012.0</v>
      </c>
      <c r="D8" s="11">
        <v>2.0</v>
      </c>
      <c r="E8" s="11">
        <v>8003.0</v>
      </c>
      <c r="F8" s="2" t="s">
        <v>345</v>
      </c>
      <c r="G8" s="2" t="s">
        <v>342</v>
      </c>
      <c r="H8" s="2" t="s">
        <v>346</v>
      </c>
      <c r="I8" s="2" t="s">
        <v>70</v>
      </c>
    </row>
    <row r="9">
      <c r="A9" s="11">
        <v>8003.0</v>
      </c>
      <c r="B9" s="2" t="s">
        <v>348</v>
      </c>
      <c r="C9" s="11">
        <v>30013.0</v>
      </c>
      <c r="D9" s="11">
        <v>3.0</v>
      </c>
      <c r="E9" s="11">
        <v>8004.0</v>
      </c>
      <c r="F9" s="2" t="s">
        <v>345</v>
      </c>
      <c r="G9" s="2" t="s">
        <v>342</v>
      </c>
      <c r="H9" s="2" t="s">
        <v>350</v>
      </c>
      <c r="I9" s="2" t="s">
        <v>70</v>
      </c>
      <c r="J9" s="2" t="s">
        <v>351</v>
      </c>
    </row>
    <row r="10">
      <c r="A10" s="11">
        <v>8004.0</v>
      </c>
      <c r="B10" s="2" t="s">
        <v>353</v>
      </c>
      <c r="C10" s="11">
        <v>30014.0</v>
      </c>
      <c r="D10" s="11">
        <v>4.0</v>
      </c>
      <c r="G10" s="2" t="s">
        <v>354</v>
      </c>
      <c r="H10" s="2" t="s">
        <v>355</v>
      </c>
      <c r="I10" s="2" t="s">
        <v>70</v>
      </c>
      <c r="J10" s="2" t="s">
        <v>357</v>
      </c>
    </row>
    <row r="13">
      <c r="A13" s="2" t="s">
        <v>358</v>
      </c>
    </row>
    <row r="14">
      <c r="A14" s="2" t="s">
        <v>359</v>
      </c>
    </row>
    <row r="15">
      <c r="A15" s="2" t="s">
        <v>360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0.13"/>
    <col customWidth="1" min="3" max="3" width="9.0"/>
    <col customWidth="1" min="4" max="4" width="9.25"/>
    <col customWidth="1" min="5" max="5" width="13.38"/>
    <col customWidth="1" min="6" max="6" width="6.88"/>
    <col customWidth="1" min="7" max="7" width="8.13"/>
    <col customWidth="1" min="8" max="8" width="10.75"/>
  </cols>
  <sheetData>
    <row r="1">
      <c r="A1" s="5" t="s">
        <v>4</v>
      </c>
      <c r="B1" s="5" t="s">
        <v>347</v>
      </c>
      <c r="C1" s="5"/>
      <c r="D1" s="5"/>
      <c r="E1" s="5"/>
      <c r="F1" s="5"/>
      <c r="G1" s="5"/>
      <c r="H1" s="5"/>
    </row>
    <row r="2">
      <c r="A2" s="5" t="s">
        <v>15</v>
      </c>
      <c r="B2" s="5" t="s">
        <v>349</v>
      </c>
      <c r="C2" s="5"/>
      <c r="D2" s="5"/>
      <c r="E2" s="5"/>
      <c r="F2" s="5"/>
      <c r="G2" s="5"/>
      <c r="H2" s="5"/>
    </row>
    <row r="3">
      <c r="A3" s="5" t="s">
        <v>22</v>
      </c>
      <c r="B3" s="5" t="s">
        <v>352</v>
      </c>
      <c r="C3" s="5"/>
      <c r="D3" s="5"/>
      <c r="E3" s="5"/>
      <c r="F3" s="5"/>
      <c r="G3" s="5"/>
      <c r="H3" s="5"/>
    </row>
    <row r="4">
      <c r="A4" s="5" t="s">
        <v>28</v>
      </c>
      <c r="B4" s="5" t="s">
        <v>356</v>
      </c>
      <c r="C4" s="5"/>
      <c r="D4" s="5"/>
      <c r="E4" s="5"/>
      <c r="F4" s="5"/>
      <c r="G4" s="5"/>
      <c r="H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</row>
    <row r="6">
      <c r="A6" s="9" t="s">
        <v>37</v>
      </c>
      <c r="B6" s="9" t="s">
        <v>42</v>
      </c>
      <c r="C6" s="9" t="s">
        <v>124</v>
      </c>
      <c r="D6" s="9" t="s">
        <v>361</v>
      </c>
      <c r="E6" s="9" t="s">
        <v>362</v>
      </c>
      <c r="F6" s="9" t="s">
        <v>363</v>
      </c>
      <c r="G6" s="9" t="s">
        <v>364</v>
      </c>
      <c r="H6" s="9" t="s">
        <v>365</v>
      </c>
      <c r="I6" s="9" t="s">
        <v>58</v>
      </c>
      <c r="J6" s="9" t="s">
        <v>114</v>
      </c>
    </row>
    <row r="7">
      <c r="A7" s="11">
        <v>9001.0</v>
      </c>
      <c r="B7" s="2" t="s">
        <v>366</v>
      </c>
      <c r="C7" s="11">
        <v>8001.0</v>
      </c>
      <c r="D7" s="11">
        <v>0.0</v>
      </c>
      <c r="E7" s="2" t="s">
        <v>367</v>
      </c>
      <c r="F7" s="2" t="s">
        <v>368</v>
      </c>
      <c r="G7" s="11">
        <v>0.0</v>
      </c>
      <c r="H7" s="11">
        <v>-40.0</v>
      </c>
      <c r="I7" s="2" t="s">
        <v>70</v>
      </c>
      <c r="J7" s="2" t="s">
        <v>369</v>
      </c>
    </row>
    <row r="8">
      <c r="A8" s="11">
        <v>9002.0</v>
      </c>
      <c r="B8" s="2" t="s">
        <v>370</v>
      </c>
      <c r="C8" s="11">
        <v>8001.0</v>
      </c>
      <c r="D8" s="11">
        <v>1.0</v>
      </c>
      <c r="E8" s="2" t="s">
        <v>371</v>
      </c>
      <c r="F8" s="2" t="s">
        <v>372</v>
      </c>
      <c r="G8" s="11">
        <v>2000.0</v>
      </c>
      <c r="H8" s="11">
        <v>-30.0</v>
      </c>
      <c r="I8" s="2" t="s">
        <v>70</v>
      </c>
      <c r="J8" s="2" t="s">
        <v>373</v>
      </c>
    </row>
    <row r="9">
      <c r="A9" s="11">
        <v>9003.0</v>
      </c>
      <c r="B9" s="2" t="s">
        <v>374</v>
      </c>
      <c r="C9" s="11">
        <v>8001.0</v>
      </c>
      <c r="D9" s="11">
        <v>2.0</v>
      </c>
      <c r="E9" s="2" t="s">
        <v>375</v>
      </c>
      <c r="F9" s="2" t="s">
        <v>376</v>
      </c>
      <c r="G9" s="11">
        <v>5000.0</v>
      </c>
      <c r="H9" s="11">
        <v>-20.0</v>
      </c>
      <c r="I9" s="2" t="s">
        <v>70</v>
      </c>
      <c r="J9" s="2" t="s">
        <v>377</v>
      </c>
    </row>
    <row r="10">
      <c r="A10" s="11">
        <v>9004.0</v>
      </c>
      <c r="B10" s="2" t="s">
        <v>378</v>
      </c>
      <c r="C10" s="11">
        <v>8001.0</v>
      </c>
      <c r="D10" s="11">
        <v>3.0</v>
      </c>
      <c r="E10" s="2" t="s">
        <v>379</v>
      </c>
      <c r="F10" s="2" t="s">
        <v>380</v>
      </c>
      <c r="G10" s="11">
        <v>10000.0</v>
      </c>
      <c r="H10" s="11">
        <v>0.0</v>
      </c>
      <c r="I10" s="2" t="s">
        <v>70</v>
      </c>
      <c r="J10" s="2" t="s">
        <v>381</v>
      </c>
    </row>
    <row r="11">
      <c r="A11" s="11">
        <v>9005.0</v>
      </c>
      <c r="B11" s="2" t="s">
        <v>382</v>
      </c>
      <c r="C11" s="11">
        <v>8001.0</v>
      </c>
      <c r="D11" s="11">
        <v>4.0</v>
      </c>
      <c r="E11" s="2" t="s">
        <v>383</v>
      </c>
      <c r="F11" s="2" t="s">
        <v>384</v>
      </c>
      <c r="G11" s="11">
        <v>12000.0</v>
      </c>
      <c r="H11" s="11">
        <v>10.0</v>
      </c>
      <c r="I11" s="2" t="s">
        <v>70</v>
      </c>
      <c r="J11" s="2" t="s">
        <v>385</v>
      </c>
    </row>
    <row r="12">
      <c r="A12" s="11">
        <v>9006.0</v>
      </c>
      <c r="B12" s="2" t="s">
        <v>386</v>
      </c>
      <c r="C12" s="11">
        <v>8002.0</v>
      </c>
      <c r="D12" s="11">
        <v>0.0</v>
      </c>
      <c r="E12" s="2" t="s">
        <v>367</v>
      </c>
      <c r="F12" s="2" t="s">
        <v>387</v>
      </c>
      <c r="G12" s="11">
        <v>0.0</v>
      </c>
      <c r="H12" s="11">
        <v>-40.0</v>
      </c>
      <c r="I12" s="2" t="s">
        <v>70</v>
      </c>
    </row>
    <row r="13">
      <c r="A13" s="11">
        <v>9007.0</v>
      </c>
      <c r="B13" s="2" t="s">
        <v>388</v>
      </c>
      <c r="C13" s="11">
        <v>8002.0</v>
      </c>
      <c r="D13" s="11">
        <v>1.0</v>
      </c>
      <c r="E13" s="2" t="s">
        <v>371</v>
      </c>
      <c r="F13" s="2" t="s">
        <v>389</v>
      </c>
      <c r="G13" s="11">
        <v>2000.0</v>
      </c>
      <c r="H13" s="11">
        <v>-30.0</v>
      </c>
      <c r="I13" s="2" t="s">
        <v>70</v>
      </c>
    </row>
    <row r="14">
      <c r="A14" s="11">
        <v>9008.0</v>
      </c>
      <c r="B14" s="2" t="s">
        <v>390</v>
      </c>
      <c r="C14" s="11">
        <v>8002.0</v>
      </c>
      <c r="D14" s="11">
        <v>2.0</v>
      </c>
      <c r="E14" s="2" t="s">
        <v>375</v>
      </c>
      <c r="F14" s="2" t="s">
        <v>391</v>
      </c>
      <c r="G14" s="11">
        <v>5000.0</v>
      </c>
      <c r="H14" s="11">
        <v>-20.0</v>
      </c>
      <c r="I14" s="2" t="s">
        <v>70</v>
      </c>
    </row>
    <row r="15">
      <c r="A15" s="11">
        <v>9009.0</v>
      </c>
      <c r="B15" s="2" t="s">
        <v>392</v>
      </c>
      <c r="C15" s="11">
        <v>8002.0</v>
      </c>
      <c r="D15" s="11">
        <v>3.0</v>
      </c>
      <c r="E15" s="2" t="s">
        <v>379</v>
      </c>
      <c r="F15" s="2" t="s">
        <v>393</v>
      </c>
      <c r="G15" s="11">
        <v>10000.0</v>
      </c>
      <c r="H15" s="11">
        <v>0.0</v>
      </c>
      <c r="I15" s="2" t="s">
        <v>70</v>
      </c>
    </row>
    <row r="16">
      <c r="A16" s="11">
        <v>9010.0</v>
      </c>
      <c r="B16" s="2" t="s">
        <v>394</v>
      </c>
      <c r="C16" s="11">
        <v>8003.0</v>
      </c>
      <c r="D16" s="11">
        <v>0.0</v>
      </c>
      <c r="E16" s="2" t="s">
        <v>367</v>
      </c>
      <c r="F16" s="2" t="s">
        <v>395</v>
      </c>
      <c r="G16" s="11">
        <v>0.0</v>
      </c>
      <c r="H16" s="11">
        <v>-40.0</v>
      </c>
      <c r="I16" s="2" t="s">
        <v>70</v>
      </c>
    </row>
    <row r="17">
      <c r="A17" s="11">
        <v>9011.0</v>
      </c>
      <c r="B17" s="2" t="s">
        <v>396</v>
      </c>
      <c r="C17" s="11">
        <v>8003.0</v>
      </c>
      <c r="D17" s="11">
        <v>1.0</v>
      </c>
      <c r="E17" s="2" t="s">
        <v>371</v>
      </c>
      <c r="F17" s="2" t="s">
        <v>397</v>
      </c>
      <c r="G17" s="11">
        <v>2000.0</v>
      </c>
      <c r="H17" s="11">
        <v>-30.0</v>
      </c>
      <c r="I17" s="2" t="s">
        <v>70</v>
      </c>
    </row>
    <row r="18">
      <c r="A18" s="11">
        <v>9012.0</v>
      </c>
      <c r="B18" s="2" t="s">
        <v>398</v>
      </c>
      <c r="C18" s="11">
        <v>8003.0</v>
      </c>
      <c r="D18" s="11">
        <v>2.0</v>
      </c>
      <c r="E18" s="2" t="s">
        <v>375</v>
      </c>
      <c r="F18" s="2" t="s">
        <v>399</v>
      </c>
      <c r="G18" s="11">
        <v>5000.0</v>
      </c>
      <c r="H18" s="11">
        <v>-20.0</v>
      </c>
      <c r="I18" s="2" t="s">
        <v>70</v>
      </c>
    </row>
    <row r="19">
      <c r="A19" s="11">
        <v>9013.0</v>
      </c>
      <c r="B19" s="2" t="s">
        <v>400</v>
      </c>
      <c r="C19" s="11">
        <v>8003.0</v>
      </c>
      <c r="D19" s="11">
        <v>3.0</v>
      </c>
      <c r="E19" s="2" t="s">
        <v>379</v>
      </c>
      <c r="F19" s="2" t="s">
        <v>401</v>
      </c>
      <c r="G19" s="11">
        <v>10000.0</v>
      </c>
      <c r="H19" s="11">
        <v>0.0</v>
      </c>
      <c r="I19" s="2" t="s">
        <v>70</v>
      </c>
    </row>
    <row r="20">
      <c r="A20" s="11">
        <v>9014.0</v>
      </c>
      <c r="B20" s="2" t="s">
        <v>402</v>
      </c>
      <c r="C20" s="11">
        <v>8004.0</v>
      </c>
      <c r="D20" s="11">
        <v>0.0</v>
      </c>
      <c r="E20" s="2" t="s">
        <v>403</v>
      </c>
      <c r="F20" s="2" t="s">
        <v>404</v>
      </c>
      <c r="G20" s="11">
        <v>3000.0</v>
      </c>
      <c r="H20" s="11">
        <v>-20.0</v>
      </c>
      <c r="I20" s="2" t="s">
        <v>70</v>
      </c>
      <c r="J20" s="2" t="s">
        <v>405</v>
      </c>
    </row>
    <row r="21">
      <c r="A21" s="11">
        <v>9015.0</v>
      </c>
      <c r="B21" s="2" t="s">
        <v>406</v>
      </c>
      <c r="C21" s="11">
        <v>8004.0</v>
      </c>
      <c r="D21" s="11">
        <v>1.0</v>
      </c>
      <c r="E21" s="2" t="s">
        <v>379</v>
      </c>
      <c r="F21" s="2" t="s">
        <v>407</v>
      </c>
      <c r="G21" s="11">
        <v>10000.0</v>
      </c>
      <c r="H21" s="11">
        <v>0.0</v>
      </c>
      <c r="I21" s="2" t="s">
        <v>70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38"/>
    <col customWidth="1" min="2" max="2" width="7.13"/>
    <col customWidth="1" min="3" max="3" width="7.5"/>
    <col customWidth="1" min="4" max="4" width="5.5"/>
    <col customWidth="1" min="5" max="5" width="7.0"/>
    <col customWidth="1" min="6" max="6" width="4.63"/>
    <col customWidth="1" min="7" max="7" width="7.5"/>
    <col customWidth="1" min="8" max="8" width="25.0"/>
  </cols>
  <sheetData>
    <row r="1">
      <c r="A1" s="5" t="s">
        <v>4</v>
      </c>
      <c r="B1" s="5" t="s">
        <v>421</v>
      </c>
      <c r="C1" s="5"/>
      <c r="D1" s="5"/>
      <c r="E1" s="5"/>
      <c r="F1" s="5"/>
      <c r="G1" s="5"/>
      <c r="H1" s="5"/>
    </row>
    <row r="2">
      <c r="A2" s="5" t="s">
        <v>15</v>
      </c>
      <c r="B2" s="5" t="s">
        <v>425</v>
      </c>
      <c r="C2" s="5"/>
      <c r="D2" s="5"/>
      <c r="E2" s="5"/>
      <c r="F2" s="5"/>
      <c r="G2" s="5"/>
      <c r="H2" s="5"/>
    </row>
    <row r="3">
      <c r="A3" s="5" t="s">
        <v>22</v>
      </c>
      <c r="B3" s="5" t="s">
        <v>426</v>
      </c>
      <c r="C3" s="5"/>
      <c r="D3" s="5"/>
      <c r="E3" s="5"/>
      <c r="F3" s="5"/>
      <c r="G3" s="5"/>
      <c r="H3" s="5"/>
    </row>
    <row r="4">
      <c r="A4" s="5" t="s">
        <v>28</v>
      </c>
      <c r="B4" s="5" t="s">
        <v>429</v>
      </c>
      <c r="C4" s="5"/>
      <c r="D4" s="5"/>
      <c r="E4" s="5"/>
      <c r="F4" s="5"/>
      <c r="G4" s="5"/>
      <c r="H4" s="5"/>
    </row>
    <row r="5">
      <c r="A5" s="5" t="s">
        <v>33</v>
      </c>
      <c r="B5" s="5" t="s">
        <v>81</v>
      </c>
      <c r="C5" s="5"/>
      <c r="D5" s="5"/>
      <c r="E5" s="5"/>
      <c r="F5" s="5"/>
      <c r="G5" s="5"/>
      <c r="H5" s="5"/>
    </row>
    <row r="6">
      <c r="A6" s="9" t="s">
        <v>37</v>
      </c>
      <c r="B6" s="9" t="s">
        <v>42</v>
      </c>
      <c r="C6" s="9" t="s">
        <v>434</v>
      </c>
      <c r="D6" s="9" t="s">
        <v>435</v>
      </c>
      <c r="E6" s="9" t="s">
        <v>8</v>
      </c>
      <c r="F6" s="9" t="s">
        <v>10</v>
      </c>
      <c r="G6" s="9" t="s">
        <v>11</v>
      </c>
      <c r="H6" s="9" t="s">
        <v>56</v>
      </c>
      <c r="I6" s="9" t="s">
        <v>58</v>
      </c>
      <c r="J6" s="9" t="s">
        <v>114</v>
      </c>
    </row>
    <row r="7">
      <c r="A7" s="11">
        <v>10001.0</v>
      </c>
      <c r="B7" s="2" t="s">
        <v>438</v>
      </c>
      <c r="C7" s="2" t="s">
        <v>439</v>
      </c>
      <c r="D7" s="2" t="s">
        <v>70</v>
      </c>
      <c r="E7" s="2" t="s">
        <v>70</v>
      </c>
      <c r="F7" s="2" t="s">
        <v>70</v>
      </c>
      <c r="G7" s="2" t="s">
        <v>70</v>
      </c>
      <c r="H7" s="2" t="s">
        <v>70</v>
      </c>
      <c r="I7" s="2" t="s">
        <v>70</v>
      </c>
    </row>
    <row r="8">
      <c r="A8" s="11">
        <v>10002.0</v>
      </c>
      <c r="B8" s="2" t="s">
        <v>443</v>
      </c>
      <c r="C8" s="2" t="s">
        <v>444</v>
      </c>
      <c r="D8" s="2" t="s">
        <v>70</v>
      </c>
      <c r="E8" s="2" t="s">
        <v>70</v>
      </c>
      <c r="F8" s="2" t="s">
        <v>70</v>
      </c>
      <c r="G8" s="2" t="s">
        <v>70</v>
      </c>
      <c r="H8" s="2" t="s">
        <v>70</v>
      </c>
      <c r="I8" s="2" t="s">
        <v>70</v>
      </c>
    </row>
    <row r="9">
      <c r="A9" s="11">
        <v>10003.0</v>
      </c>
      <c r="B9" s="2" t="s">
        <v>448</v>
      </c>
      <c r="C9" s="2" t="s">
        <v>449</v>
      </c>
      <c r="D9" s="2" t="s">
        <v>70</v>
      </c>
      <c r="E9" s="2" t="s">
        <v>70</v>
      </c>
      <c r="F9" s="2" t="s">
        <v>70</v>
      </c>
      <c r="G9" s="2" t="s">
        <v>70</v>
      </c>
      <c r="H9" s="2" t="s">
        <v>70</v>
      </c>
      <c r="I9" s="2" t="s">
        <v>70</v>
      </c>
      <c r="J9" s="2" t="s">
        <v>451</v>
      </c>
    </row>
    <row r="10">
      <c r="A10" s="11">
        <v>10004.0</v>
      </c>
      <c r="B10" s="2" t="s">
        <v>452</v>
      </c>
      <c r="C10" s="2" t="s">
        <v>454</v>
      </c>
      <c r="D10" s="2" t="s">
        <v>70</v>
      </c>
      <c r="E10" s="2" t="s">
        <v>70</v>
      </c>
      <c r="F10" s="2" t="s">
        <v>70</v>
      </c>
      <c r="G10" s="2" t="s">
        <v>70</v>
      </c>
      <c r="H10" s="2" t="s">
        <v>70</v>
      </c>
      <c r="I10" s="2" t="s">
        <v>70</v>
      </c>
    </row>
    <row r="11">
      <c r="A11" s="11">
        <v>10005.0</v>
      </c>
      <c r="B11" s="2" t="s">
        <v>458</v>
      </c>
      <c r="C11" s="2" t="s">
        <v>459</v>
      </c>
      <c r="D11" s="2" t="s">
        <v>70</v>
      </c>
      <c r="E11" s="2" t="s">
        <v>70</v>
      </c>
      <c r="F11" s="2" t="s">
        <v>70</v>
      </c>
      <c r="G11" s="2" t="s">
        <v>70</v>
      </c>
      <c r="H11" s="2" t="s">
        <v>70</v>
      </c>
      <c r="I11" s="2" t="s">
        <v>70</v>
      </c>
      <c r="J11" s="2" t="s">
        <v>461</v>
      </c>
    </row>
    <row r="12">
      <c r="A12" s="11">
        <v>10006.0</v>
      </c>
      <c r="B12" s="2" t="s">
        <v>463</v>
      </c>
      <c r="C12" s="2" t="s">
        <v>464</v>
      </c>
      <c r="D12" s="2" t="s">
        <v>70</v>
      </c>
      <c r="E12" s="2" t="s">
        <v>70</v>
      </c>
      <c r="F12" s="2" t="s">
        <v>226</v>
      </c>
      <c r="G12" s="2" t="s">
        <v>70</v>
      </c>
      <c r="H12" s="2" t="s">
        <v>70</v>
      </c>
      <c r="I12" s="2" t="s">
        <v>70</v>
      </c>
    </row>
    <row r="13">
      <c r="A13" s="11">
        <v>10007.0</v>
      </c>
      <c r="B13" s="2" t="s">
        <v>466</v>
      </c>
      <c r="C13" s="2" t="s">
        <v>467</v>
      </c>
      <c r="D13" s="2" t="s">
        <v>70</v>
      </c>
      <c r="E13" s="2" t="s">
        <v>70</v>
      </c>
      <c r="F13" s="2" t="s">
        <v>70</v>
      </c>
      <c r="G13" s="2" t="s">
        <v>70</v>
      </c>
      <c r="H13" s="2" t="s">
        <v>70</v>
      </c>
      <c r="I13" s="2" t="s">
        <v>70</v>
      </c>
      <c r="J13" s="2" t="s">
        <v>468</v>
      </c>
    </row>
    <row r="14">
      <c r="A14" s="11">
        <v>10008.0</v>
      </c>
      <c r="B14" s="2" t="s">
        <v>470</v>
      </c>
      <c r="C14" s="2" t="s">
        <v>471</v>
      </c>
      <c r="D14" s="2" t="s">
        <v>70</v>
      </c>
      <c r="E14" s="2" t="s">
        <v>70</v>
      </c>
      <c r="F14" s="2" t="s">
        <v>70</v>
      </c>
      <c r="G14" s="2" t="s">
        <v>70</v>
      </c>
      <c r="H14" s="2" t="s">
        <v>70</v>
      </c>
      <c r="I14" s="2" t="s">
        <v>70</v>
      </c>
    </row>
    <row r="15">
      <c r="A15" s="11">
        <v>10009.0</v>
      </c>
      <c r="B15" s="2" t="s">
        <v>473</v>
      </c>
      <c r="C15" s="2" t="s">
        <v>474</v>
      </c>
      <c r="D15" s="2" t="s">
        <v>70</v>
      </c>
      <c r="E15" s="2" t="s">
        <v>70</v>
      </c>
      <c r="F15" s="2" t="s">
        <v>70</v>
      </c>
      <c r="G15" s="2" t="s">
        <v>70</v>
      </c>
      <c r="H15" s="2" t="s">
        <v>70</v>
      </c>
      <c r="I15" s="2" t="s">
        <v>70</v>
      </c>
      <c r="J15" s="2" t="s">
        <v>475</v>
      </c>
    </row>
    <row r="16">
      <c r="A16" s="11">
        <v>10010.0</v>
      </c>
      <c r="B16" s="2" t="s">
        <v>477</v>
      </c>
      <c r="C16" s="2" t="s">
        <v>478</v>
      </c>
      <c r="D16" s="2" t="s">
        <v>70</v>
      </c>
      <c r="E16" s="2" t="s">
        <v>70</v>
      </c>
      <c r="F16" s="2" t="s">
        <v>226</v>
      </c>
      <c r="G16" s="2" t="s">
        <v>226</v>
      </c>
      <c r="H16" s="2" t="s">
        <v>70</v>
      </c>
      <c r="I16" s="2" t="s">
        <v>70</v>
      </c>
      <c r="J16" s="2" t="s">
        <v>481</v>
      </c>
    </row>
    <row r="17">
      <c r="A17" s="11">
        <v>10011.0</v>
      </c>
      <c r="B17" s="2" t="s">
        <v>483</v>
      </c>
      <c r="C17" s="2" t="s">
        <v>484</v>
      </c>
      <c r="D17" s="2" t="s">
        <v>70</v>
      </c>
      <c r="E17" s="2" t="s">
        <v>70</v>
      </c>
      <c r="F17" s="2" t="s">
        <v>226</v>
      </c>
      <c r="G17" s="2" t="s">
        <v>226</v>
      </c>
      <c r="H17" s="2" t="s">
        <v>226</v>
      </c>
      <c r="I17" s="2" t="s">
        <v>70</v>
      </c>
      <c r="J17" s="2" t="s">
        <v>487</v>
      </c>
    </row>
    <row r="18">
      <c r="A18" s="11">
        <v>10012.0</v>
      </c>
      <c r="B18" s="2" t="s">
        <v>489</v>
      </c>
      <c r="C18" s="2" t="s">
        <v>490</v>
      </c>
      <c r="D18" s="2" t="s">
        <v>226</v>
      </c>
      <c r="E18" s="2" t="s">
        <v>70</v>
      </c>
      <c r="F18" s="2" t="s">
        <v>226</v>
      </c>
      <c r="G18" s="2" t="s">
        <v>226</v>
      </c>
      <c r="H18" s="2" t="s">
        <v>70</v>
      </c>
      <c r="I18" s="2" t="s">
        <v>70</v>
      </c>
      <c r="J18" s="2" t="s">
        <v>494</v>
      </c>
    </row>
    <row r="19">
      <c r="A19" s="11">
        <v>10013.0</v>
      </c>
      <c r="B19" s="2" t="s">
        <v>497</v>
      </c>
      <c r="C19" s="2" t="s">
        <v>498</v>
      </c>
      <c r="D19" s="2" t="s">
        <v>226</v>
      </c>
      <c r="E19" s="2" t="s">
        <v>70</v>
      </c>
      <c r="F19" s="2" t="s">
        <v>226</v>
      </c>
      <c r="G19" s="2" t="s">
        <v>226</v>
      </c>
      <c r="H19" s="2" t="s">
        <v>70</v>
      </c>
      <c r="I19" s="2" t="s">
        <v>70</v>
      </c>
    </row>
    <row r="20">
      <c r="A20" s="11">
        <v>10014.0</v>
      </c>
      <c r="B20" s="2" t="s">
        <v>500</v>
      </c>
      <c r="C20" s="2" t="s">
        <v>502</v>
      </c>
      <c r="D20" s="2" t="s">
        <v>226</v>
      </c>
      <c r="E20" s="2" t="s">
        <v>226</v>
      </c>
      <c r="F20" s="2" t="s">
        <v>70</v>
      </c>
      <c r="G20" s="2" t="s">
        <v>70</v>
      </c>
      <c r="H20" s="2" t="s">
        <v>70</v>
      </c>
      <c r="I20" s="2" t="s">
        <v>70</v>
      </c>
      <c r="J20" s="2" t="s">
        <v>504</v>
      </c>
    </row>
    <row r="21">
      <c r="A21" s="11">
        <v>10015.0</v>
      </c>
      <c r="B21" s="2" t="s">
        <v>302</v>
      </c>
      <c r="C21" s="2" t="s">
        <v>505</v>
      </c>
      <c r="D21" s="2" t="s">
        <v>226</v>
      </c>
      <c r="E21" s="2" t="s">
        <v>70</v>
      </c>
      <c r="F21" s="2" t="s">
        <v>70</v>
      </c>
      <c r="G21" s="2" t="s">
        <v>70</v>
      </c>
      <c r="H21" s="2" t="s">
        <v>70</v>
      </c>
      <c r="I21" s="2" t="s">
        <v>70</v>
      </c>
      <c r="J21" s="2" t="s">
        <v>506</v>
      </c>
    </row>
    <row r="22">
      <c r="A22" s="11">
        <v>10016.0</v>
      </c>
      <c r="B22" s="2" t="s">
        <v>507</v>
      </c>
      <c r="C22" s="2" t="s">
        <v>508</v>
      </c>
      <c r="D22" s="2" t="s">
        <v>226</v>
      </c>
      <c r="E22" s="2" t="s">
        <v>70</v>
      </c>
      <c r="F22" s="2" t="s">
        <v>70</v>
      </c>
      <c r="G22" s="2" t="s">
        <v>70</v>
      </c>
      <c r="H22" s="2" t="s">
        <v>70</v>
      </c>
      <c r="I22" s="2" t="s">
        <v>70</v>
      </c>
    </row>
    <row r="23">
      <c r="A23" s="11">
        <v>10017.0</v>
      </c>
      <c r="B23" s="2" t="s">
        <v>509</v>
      </c>
      <c r="C23" s="2" t="s">
        <v>510</v>
      </c>
      <c r="D23" s="2" t="s">
        <v>226</v>
      </c>
      <c r="E23" s="2" t="s">
        <v>70</v>
      </c>
      <c r="F23" s="2" t="s">
        <v>226</v>
      </c>
      <c r="G23" s="2" t="s">
        <v>226</v>
      </c>
      <c r="H23" s="2" t="s">
        <v>70</v>
      </c>
      <c r="I23" s="2" t="s">
        <v>70</v>
      </c>
      <c r="J23" s="2" t="s">
        <v>511</v>
      </c>
    </row>
    <row r="24">
      <c r="A24" s="11">
        <v>10018.0</v>
      </c>
      <c r="B24" s="2" t="s">
        <v>512</v>
      </c>
      <c r="C24" s="2" t="s">
        <v>275</v>
      </c>
      <c r="D24" s="2" t="s">
        <v>226</v>
      </c>
      <c r="E24" s="2" t="s">
        <v>70</v>
      </c>
      <c r="F24" s="2" t="s">
        <v>226</v>
      </c>
      <c r="G24" s="2" t="s">
        <v>226</v>
      </c>
      <c r="H24" s="2" t="s">
        <v>226</v>
      </c>
      <c r="I24" s="2" t="s">
        <v>70</v>
      </c>
      <c r="J24" s="2" t="s">
        <v>513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25"/>
    <col customWidth="1" min="2" max="2" width="14.63"/>
    <col customWidth="1" min="3" max="3" width="3.0"/>
    <col customWidth="1" min="4" max="4" width="9.0"/>
  </cols>
  <sheetData>
    <row r="1">
      <c r="A1" s="5" t="s">
        <v>4</v>
      </c>
      <c r="B1" s="5" t="s">
        <v>420</v>
      </c>
      <c r="C1" s="5"/>
      <c r="D1" s="5"/>
    </row>
    <row r="2">
      <c r="A2" s="5" t="s">
        <v>15</v>
      </c>
      <c r="B2" s="5" t="s">
        <v>422</v>
      </c>
      <c r="C2" s="5"/>
      <c r="D2" s="5"/>
    </row>
    <row r="3">
      <c r="A3" s="5" t="s">
        <v>22</v>
      </c>
      <c r="B3" s="5" t="s">
        <v>423</v>
      </c>
      <c r="C3" s="5"/>
      <c r="D3" s="5"/>
    </row>
    <row r="4">
      <c r="A4" s="5" t="s">
        <v>28</v>
      </c>
      <c r="B4" s="5" t="s">
        <v>424</v>
      </c>
      <c r="C4" s="5"/>
      <c r="D4" s="5"/>
    </row>
    <row r="5">
      <c r="A5" s="5" t="s">
        <v>33</v>
      </c>
      <c r="B5" s="5" t="s">
        <v>81</v>
      </c>
      <c r="C5" s="5"/>
      <c r="D5" s="5"/>
    </row>
    <row r="6">
      <c r="A6" s="9" t="s">
        <v>37</v>
      </c>
      <c r="B6" s="9" t="s">
        <v>42</v>
      </c>
      <c r="C6" s="9" t="s">
        <v>427</v>
      </c>
      <c r="D6" s="9" t="s">
        <v>428</v>
      </c>
      <c r="E6" s="9" t="s">
        <v>58</v>
      </c>
      <c r="F6" s="9" t="s">
        <v>114</v>
      </c>
    </row>
    <row r="7">
      <c r="A7" s="11">
        <v>30001.0</v>
      </c>
      <c r="B7" s="2" t="s">
        <v>430</v>
      </c>
      <c r="C7" s="2" t="s">
        <v>117</v>
      </c>
      <c r="E7" s="2" t="s">
        <v>70</v>
      </c>
      <c r="F7" s="2" t="s">
        <v>431</v>
      </c>
    </row>
    <row r="8">
      <c r="A8" s="11">
        <v>30002.0</v>
      </c>
      <c r="B8" s="2" t="s">
        <v>432</v>
      </c>
      <c r="C8" s="2" t="s">
        <v>130</v>
      </c>
      <c r="E8" s="2" t="s">
        <v>70</v>
      </c>
    </row>
    <row r="9">
      <c r="A9" s="11">
        <v>30003.0</v>
      </c>
      <c r="B9" s="2" t="s">
        <v>433</v>
      </c>
      <c r="C9" s="2" t="s">
        <v>169</v>
      </c>
      <c r="E9" s="2" t="s">
        <v>70</v>
      </c>
    </row>
    <row r="10">
      <c r="A10" s="11">
        <v>30004.0</v>
      </c>
      <c r="B10" s="2" t="s">
        <v>436</v>
      </c>
      <c r="C10" s="2" t="s">
        <v>208</v>
      </c>
      <c r="E10" s="2" t="s">
        <v>70</v>
      </c>
      <c r="F10" s="2" t="s">
        <v>236</v>
      </c>
    </row>
    <row r="11">
      <c r="A11" s="11">
        <v>30005.0</v>
      </c>
      <c r="B11" s="2" t="s">
        <v>437</v>
      </c>
      <c r="C11" s="2" t="s">
        <v>233</v>
      </c>
      <c r="E11" s="2" t="s">
        <v>70</v>
      </c>
      <c r="F11" s="2" t="s">
        <v>236</v>
      </c>
    </row>
    <row r="12">
      <c r="A12" s="11">
        <v>30006.0</v>
      </c>
      <c r="B12" s="2" t="s">
        <v>440</v>
      </c>
      <c r="C12" s="2" t="s">
        <v>237</v>
      </c>
      <c r="E12" s="2" t="s">
        <v>70</v>
      </c>
      <c r="F12" s="2" t="s">
        <v>441</v>
      </c>
    </row>
    <row r="13">
      <c r="A13" s="11">
        <v>30007.0</v>
      </c>
      <c r="B13" s="2" t="s">
        <v>442</v>
      </c>
      <c r="C13" s="2" t="s">
        <v>277</v>
      </c>
      <c r="E13" s="2" t="s">
        <v>70</v>
      </c>
    </row>
    <row r="14">
      <c r="A14" s="11">
        <v>30008.0</v>
      </c>
      <c r="B14" s="2" t="s">
        <v>445</v>
      </c>
      <c r="C14" s="2" t="s">
        <v>282</v>
      </c>
      <c r="E14" s="2" t="s">
        <v>70</v>
      </c>
      <c r="F14" s="2" t="s">
        <v>446</v>
      </c>
    </row>
    <row r="15">
      <c r="A15" s="11">
        <v>30009.0</v>
      </c>
      <c r="B15" s="2" t="s">
        <v>447</v>
      </c>
      <c r="C15" s="2" t="s">
        <v>286</v>
      </c>
      <c r="E15" s="2" t="s">
        <v>70</v>
      </c>
      <c r="F15" s="2" t="s">
        <v>446</v>
      </c>
    </row>
    <row r="16">
      <c r="A16" s="11">
        <v>30010.0</v>
      </c>
      <c r="B16" s="2" t="s">
        <v>450</v>
      </c>
      <c r="C16" s="2" t="s">
        <v>304</v>
      </c>
      <c r="E16" s="2" t="s">
        <v>70</v>
      </c>
    </row>
    <row r="17">
      <c r="A17" s="11">
        <v>30011.0</v>
      </c>
      <c r="B17" s="2" t="s">
        <v>453</v>
      </c>
      <c r="C17" s="2" t="s">
        <v>455</v>
      </c>
      <c r="E17" s="2" t="s">
        <v>70</v>
      </c>
    </row>
    <row r="18">
      <c r="A18" s="11">
        <v>30012.0</v>
      </c>
      <c r="B18" s="2" t="s">
        <v>456</v>
      </c>
      <c r="C18" s="2" t="s">
        <v>344</v>
      </c>
      <c r="E18" s="2" t="s">
        <v>70</v>
      </c>
      <c r="F18" s="2" t="s">
        <v>457</v>
      </c>
    </row>
    <row r="19">
      <c r="A19" s="11">
        <v>30013.0</v>
      </c>
      <c r="B19" s="2" t="s">
        <v>460</v>
      </c>
      <c r="C19" s="2" t="s">
        <v>348</v>
      </c>
      <c r="E19" s="2" t="s">
        <v>70</v>
      </c>
      <c r="F19" s="2" t="s">
        <v>457</v>
      </c>
    </row>
    <row r="20">
      <c r="A20" s="11">
        <v>30014.0</v>
      </c>
      <c r="B20" s="2" t="s">
        <v>462</v>
      </c>
      <c r="C20" s="2" t="s">
        <v>353</v>
      </c>
      <c r="E20" s="2" t="s">
        <v>70</v>
      </c>
      <c r="F20" s="2" t="s">
        <v>457</v>
      </c>
    </row>
    <row r="21">
      <c r="A21" s="11">
        <v>30015.0</v>
      </c>
      <c r="B21" s="2" t="s">
        <v>297</v>
      </c>
      <c r="C21" s="2" t="s">
        <v>465</v>
      </c>
      <c r="E21" s="2" t="s">
        <v>70</v>
      </c>
    </row>
    <row r="22">
      <c r="A22" s="11">
        <v>30016.0</v>
      </c>
      <c r="B22" s="2" t="s">
        <v>298</v>
      </c>
      <c r="C22" s="2" t="s">
        <v>465</v>
      </c>
      <c r="E22" s="2" t="s">
        <v>70</v>
      </c>
    </row>
    <row r="23">
      <c r="A23" s="11">
        <v>30017.0</v>
      </c>
      <c r="B23" s="2" t="s">
        <v>299</v>
      </c>
      <c r="C23" s="2" t="s">
        <v>469</v>
      </c>
      <c r="E23" s="2" t="s">
        <v>70</v>
      </c>
    </row>
    <row r="24">
      <c r="A24" s="11">
        <v>30018.0</v>
      </c>
      <c r="B24" s="2" t="s">
        <v>301</v>
      </c>
      <c r="C24" s="2" t="s">
        <v>472</v>
      </c>
      <c r="E24" s="2" t="s">
        <v>70</v>
      </c>
    </row>
    <row r="25">
      <c r="A25" s="11">
        <v>30019.0</v>
      </c>
      <c r="B25" s="2" t="s">
        <v>302</v>
      </c>
      <c r="C25" s="2" t="s">
        <v>302</v>
      </c>
      <c r="E25" s="2" t="s">
        <v>70</v>
      </c>
    </row>
    <row r="26">
      <c r="A26" s="11">
        <v>30020.0</v>
      </c>
      <c r="B26" s="2" t="s">
        <v>476</v>
      </c>
      <c r="C26" s="2" t="s">
        <v>304</v>
      </c>
      <c r="E26" s="2" t="s">
        <v>70</v>
      </c>
    </row>
    <row r="27">
      <c r="A27" s="11">
        <v>30021.0</v>
      </c>
      <c r="B27" s="2" t="s">
        <v>479</v>
      </c>
      <c r="C27" s="2" t="s">
        <v>466</v>
      </c>
      <c r="E27" s="2" t="s">
        <v>70</v>
      </c>
      <c r="F27" s="2" t="s">
        <v>480</v>
      </c>
    </row>
    <row r="28">
      <c r="A28" s="11">
        <v>30022.0</v>
      </c>
      <c r="B28" s="2" t="s">
        <v>482</v>
      </c>
      <c r="C28" s="2" t="s">
        <v>482</v>
      </c>
      <c r="E28" s="2" t="s">
        <v>70</v>
      </c>
    </row>
    <row r="29">
      <c r="A29" s="11">
        <v>30023.0</v>
      </c>
      <c r="B29" s="2" t="s">
        <v>485</v>
      </c>
      <c r="C29" s="2" t="s">
        <v>486</v>
      </c>
      <c r="E29" s="2" t="s">
        <v>70</v>
      </c>
      <c r="F29" s="2" t="s">
        <v>488</v>
      </c>
    </row>
    <row r="30">
      <c r="A30" s="11">
        <v>30024.0</v>
      </c>
      <c r="B30" s="2" t="s">
        <v>491</v>
      </c>
      <c r="C30" s="2" t="s">
        <v>492</v>
      </c>
      <c r="E30" s="2" t="s">
        <v>70</v>
      </c>
      <c r="F30" s="2" t="s">
        <v>493</v>
      </c>
    </row>
    <row r="31">
      <c r="A31" s="11">
        <v>30025.0</v>
      </c>
      <c r="B31" s="2" t="s">
        <v>495</v>
      </c>
      <c r="C31" s="2" t="s">
        <v>496</v>
      </c>
      <c r="E31" s="2" t="s">
        <v>70</v>
      </c>
    </row>
    <row r="32">
      <c r="A32" s="11">
        <v>30026.0</v>
      </c>
      <c r="B32" s="2" t="s">
        <v>499</v>
      </c>
      <c r="C32" s="2" t="s">
        <v>501</v>
      </c>
      <c r="E32" s="2" t="s">
        <v>70</v>
      </c>
      <c r="F32" s="2" t="s">
        <v>503</v>
      </c>
    </row>
  </sheetData>
  <drawing r:id="rId1"/>
</worksheet>
</file>